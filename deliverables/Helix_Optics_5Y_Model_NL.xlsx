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Read Me" sheetId="1" state="visible" r:id="rId1"/>
    <sheet xmlns:r="http://schemas.openxmlformats.org/officeDocument/2006/relationships" name="1 Assumptions" sheetId="2" state="visible" r:id="rId2"/>
    <sheet xmlns:r="http://schemas.openxmlformats.org/officeDocument/2006/relationships" name="2 Model" sheetId="3" state="visible" r:id="rId3"/>
    <sheet xmlns:r="http://schemas.openxmlformats.org/officeDocument/2006/relationships" name="3 Sensitivity" sheetId="4" state="visible" r:id="rId4"/>
    <sheet xmlns:r="http://schemas.openxmlformats.org/officeDocument/2006/relationships" name="4 Compare" sheetId="5" state="visible" r:id="rId5"/>
    <sheet xmlns:r="http://schemas.openxmlformats.org/officeDocument/2006/relationships" name="5 Sources" sheetId="6" state="visible" r:id="rId6"/>
  </sheets>
  <definedNames>
    <definedName name="ramp1">'1 Assumptions'!$C$6</definedName>
    <definedName name="ramp2">'1 Assumptions'!$C$7</definedName>
    <definedName name="ramp3">'1 Assumptions'!$C$8</definedName>
    <definedName name="ramp4">'1 Assumptions'!$C$9</definedName>
    <definedName name="ramp5">'1 Assumptions'!$C$10</definedName>
    <definedName name="delay_m">'1 Assumptions'!$C$11</definedName>
    <definedName name="price">'1 Assumptions'!$C$12</definedName>
    <definedName name="cogs1">'1 Assumptions'!$C$13</definedName>
    <definedName name="cogs5">'1 Assumptions'!$C$14</definedName>
    <definedName name="ramp">'1 Assumptions'!$C$6:$C$10</definedName>
    <definedName name="corp">'1 Assumptions'!$C$17</definedName>
    <definedName name="inmkt">'1 Assumptions'!$C$18</definedName>
    <definedName name="entry">'1 Assumptions'!$C$19</definedName>
    <definedName name="cash0">'1 Assumptions'!$C$20</definedName>
    <definedName name="elig">'1 Assumptions'!$C$23</definedName>
    <definedName name="part">'1 Assumptions'!$C$24</definedName>
    <definedName name="pos">'1 Assumptions'!$C$25</definedName>
    <definedName name="tariff">'1 Assumptions'!$C$26</definedName>
    <definedName name="defer">'1 Assumptions'!$C$27</definedName>
    <definedName name="addr">'2 Model'!$C$5</definedName>
    <definedName name="offs">'2 Model'!$C$6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,,&quot;M&quot;"/>
  </numFmts>
  <fonts count="7">
    <font>
      <name val="Calibri"/>
      <family val="2"/>
      <color theme="1"/>
      <sz val="11"/>
      <scheme val="minor"/>
    </font>
    <font>
      <name val="Calibri"/>
      <b val="1"/>
      <color rgb="001D2939"/>
      <sz val="16"/>
    </font>
    <font>
      <name val="Calibri"/>
      <i val="1"/>
      <color rgb="00667085"/>
      <sz val="9"/>
    </font>
    <font>
      <name val="Calibri"/>
      <b val="1"/>
      <color rgb="00C12D00"/>
      <sz val="11"/>
    </font>
    <font>
      <name val="Calibri"/>
      <color rgb="001D2939"/>
      <sz val="11"/>
    </font>
    <font>
      <name val="Calibri"/>
      <b val="1"/>
      <color rgb="00FFFFFF"/>
      <sz val="11"/>
    </font>
    <font>
      <name val="Calibri"/>
      <b val="1"/>
      <color rgb="001D2939"/>
      <sz val="11"/>
    </font>
  </fonts>
  <fills count="7">
    <fill>
      <patternFill/>
    </fill>
    <fill>
      <patternFill patternType="gray125"/>
    </fill>
    <fill>
      <patternFill patternType="solid">
        <fgColor rgb="001D2939"/>
      </patternFill>
    </fill>
    <fill>
      <patternFill patternType="solid">
        <fgColor rgb="00F6EAD9"/>
      </patternFill>
    </fill>
    <fill>
      <patternFill patternType="solid">
        <fgColor rgb="00EFECE7"/>
      </patternFill>
    </fill>
    <fill>
      <patternFill patternType="solid">
        <fgColor rgb="00E6EEF3"/>
      </patternFill>
    </fill>
    <fill>
      <patternFill patternType="solid">
        <fgColor rgb="00F8E3DC"/>
      </patternFill>
    </fill>
  </fills>
  <borders count="2">
    <border>
      <left/>
      <right/>
      <top/>
      <bottom/>
      <diagonal/>
    </border>
    <border>
      <left style="thin">
        <color rgb="00E6E1DA"/>
      </left>
      <right style="thin">
        <color rgb="00E6E1DA"/>
      </right>
      <top style="thin">
        <color rgb="00E6E1DA"/>
      </top>
      <bottom style="thin">
        <color rgb="00E6E1D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4" fillId="0" borderId="1" pivotButton="0" quotePrefix="0" xfId="0"/>
    <xf numFmtId="164" fontId="6" fillId="3" borderId="1" pivotButton="0" quotePrefix="0" xfId="0"/>
    <xf numFmtId="0" fontId="2" fillId="0" borderId="1" pivotButton="0" quotePrefix="0" xfId="0"/>
    <xf numFmtId="3" fontId="6" fillId="3" borderId="1" pivotButton="0" quotePrefix="0" xfId="0"/>
    <xf numFmtId="3" fontId="6" fillId="4" borderId="1" pivotButton="0" quotePrefix="0" xfId="0"/>
    <xf numFmtId="164" fontId="6" fillId="4" borderId="1" pivotButton="0" quotePrefix="0" xfId="0"/>
    <xf numFmtId="3" fontId="6" fillId="5" borderId="1" pivotButton="0" quotePrefix="0" xfId="0"/>
    <xf numFmtId="1" fontId="4" fillId="0" borderId="1" pivotButton="0" quotePrefix="0" xfId="0"/>
    <xf numFmtId="0" fontId="5" fillId="2" borderId="1" applyAlignment="1" pivotButton="0" quotePrefix="0" xfId="0">
      <alignment horizontal="center"/>
    </xf>
    <xf numFmtId="164" fontId="4" fillId="0" borderId="1" pivotButton="0" quotePrefix="0" xfId="0"/>
    <xf numFmtId="3" fontId="4" fillId="0" borderId="1" pivotButton="0" quotePrefix="0" xfId="0"/>
    <xf numFmtId="2" fontId="4" fillId="0" borderId="1" pivotButton="0" quotePrefix="0" xfId="0"/>
    <xf numFmtId="0" fontId="6" fillId="0" borderId="1" pivotButton="0" quotePrefix="0" xfId="0"/>
    <xf numFmtId="49" fontId="6" fillId="5" borderId="1" pivotButton="0" quotePrefix="0" xfId="0"/>
    <xf numFmtId="9" fontId="4" fillId="0" borderId="1" pivotButton="0" quotePrefix="0" xfId="0"/>
    <xf numFmtId="165" fontId="4" fillId="0" borderId="1" pivotButton="0" quotePrefix="0" xfId="0"/>
    <xf numFmtId="0" fontId="3" fillId="0" borderId="0" pivotButton="0" quotePrefix="0" xfId="0"/>
    <xf numFmtId="0" fontId="2" fillId="2" borderId="1" pivotButton="0" quotePrefix="0" xfId="0"/>
    <xf numFmtId="0" fontId="4" fillId="4" borderId="1" pivotButton="0" quotePrefix="0" xfId="0"/>
    <xf numFmtId="3" fontId="4" fillId="4" borderId="1" pivotButton="0" quotePrefix="0" xfId="0"/>
    <xf numFmtId="164" fontId="4" fillId="4" borderId="1" pivotButton="0" quotePrefix="0" xfId="0"/>
    <xf numFmtId="1" fontId="4" fillId="4" borderId="1" pivotButton="0" quotePrefix="0" xfId="0"/>
    <xf numFmtId="49" fontId="4" fillId="4" borderId="1" pivotButton="0" quotePrefix="0" xfId="0"/>
    <xf numFmtId="3" fontId="6" fillId="6" borderId="1" pivotButton="0" quotePrefix="0" xfId="0"/>
    <xf numFmtId="49" fontId="6" fillId="6" borderId="1" pivotButton="0" quotePrefix="0" xfId="0"/>
    <xf numFmtId="0" fontId="2" fillId="0" borderId="0" applyAlignment="1" pivotButton="0" quotePrefix="0" xfId="0">
      <alignment wrapText="1"/>
    </xf>
    <xf numFmtId="0" fontId="4" fillId="5" borderId="1" pivotButton="0" quotePrefix="0" xfId="0"/>
    <xf numFmtId="0" fontId="4" fillId="3" borderId="1" pivotButton="0" quotePrefix="0" xfId="0"/>
    <xf numFmtId="0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1">
      <c r="A1" t="inlineStr"/>
    </row>
    <row r="2">
      <c r="B2" s="1" t="inlineStr">
        <is>
          <t>HelixColon — five-year market-entry model</t>
        </is>
      </c>
    </row>
    <row r="3">
      <c r="B3" s="2" t="inlineStr">
        <is>
          <t>Selected market: Netherlands · generated by the data pipeline · 23 Aug 2026</t>
        </is>
      </c>
    </row>
    <row r="5">
      <c r="B5" s="3" t="inlineStr">
        <is>
          <t>How to use</t>
        </is>
      </c>
    </row>
    <row r="6">
      <c r="B6" s="4" t="inlineStr">
        <is>
          <t>Every YELLOW cell on '1 Assumptions' is editable. The Model, Sensitivity and Compare tabs are pure formulas over those cells — change an assumption and the whole workbook recalculates.</t>
        </is>
      </c>
    </row>
    <row r="7">
      <c r="B7" s="4" t="inlineStr">
        <is>
          <t>GREY cells are pipeline-extracted inputs; their origin is recorded next to them and, in full, on '5 Sources'. Corrections belong in the pipeline's overrides.yaml, not typed over outputs.</t>
        </is>
      </c>
    </row>
    <row r="8">
      <c r="B8" s="4" t="inlineStr"/>
    </row>
    <row r="9">
      <c r="B9" s="3" t="inlineStr">
        <is>
          <t>Structure</t>
        </is>
      </c>
    </row>
    <row r="10">
      <c r="B10" s="4" t="inlineStr">
        <is>
          <t>1 Assumptions — the editable layer (commercial + cost assumptions) and the pipeline market inputs.</t>
        </is>
      </c>
    </row>
    <row r="11">
      <c r="B11" s="4" t="inlineStr">
        <is>
          <t>2 Model — volume funnel → unit economics → P&amp;L → cash runway for the selected market.</t>
        </is>
      </c>
    </row>
    <row r="12">
      <c r="B12" s="4" t="inlineStr">
        <is>
          <t>3 Sensitivity — a live scenario engine: penetration ramp ×50–125% against reimbursement delay 12/18/24 months; break-even, cash trough and end-cash grids.</t>
        </is>
      </c>
    </row>
    <row r="13">
      <c r="B13" s="4" t="inlineStr">
        <is>
          <t>4 Compare — the four candidate markets through the same engine (pipeline-computed).</t>
        </is>
      </c>
    </row>
    <row r="14">
      <c r="B14" s="4" t="inlineStr">
        <is>
          <t>5 Sources — every input: value, origin file, extraction method, and pack / derived / estimated.</t>
        </is>
      </c>
    </row>
    <row r="15">
      <c r="B15" s="4" t="inlineStr"/>
    </row>
    <row r="16">
      <c r="B16" s="3" t="inlineStr">
        <is>
          <t>Conventions</t>
        </is>
      </c>
    </row>
    <row r="17">
      <c r="B17" s="4" t="inlineStr">
        <is>
          <t>All figures EUR. Years are calendar years from entry (Y1 = entry year). Annual granularity; reimbursement delays round up to full years (conservative).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0" customWidth="1" min="4" max="4"/>
    <col width="58" customWidth="1" min="5" max="5"/>
  </cols>
  <sheetData>
    <row r="2">
      <c r="B2" s="1" t="inlineStr">
        <is>
          <t>Assumptions — the editable layer</t>
        </is>
      </c>
    </row>
    <row r="3">
      <c r="B3" s="2" t="inlineStr">
        <is>
          <t>Yellow = change me (live session). Grey = pipeline input with source.</t>
        </is>
      </c>
    </row>
    <row r="5">
      <c r="B5" s="5" t="inlineStr">
        <is>
          <t>A · Commercial assumptions (EDITABLE)</t>
        </is>
      </c>
      <c r="C5" s="5" t="inlineStr">
        <is>
          <t>Value</t>
        </is>
      </c>
      <c r="D5" s="5" t="inlineStr">
        <is>
          <t>Unit</t>
        </is>
      </c>
      <c r="E5" s="5" t="inlineStr">
        <is>
          <t>Basis</t>
        </is>
      </c>
    </row>
    <row r="6">
      <c r="B6" s="6" t="inlineStr">
        <is>
          <t>Penetration ramp — reimbursed year 1</t>
        </is>
      </c>
      <c r="C6" s="7" t="n">
        <v>0.07000000000000001</v>
      </c>
      <c r="D6" s="8" t="inlineStr">
        <is>
          <t>% addr</t>
        </is>
      </c>
      <c r="E6" s="8" t="inlineStr">
        <is>
          <t>Anchored to pack benchmark: comparable assay ≈20% of eligible volume within 3 years of reimbursement</t>
        </is>
      </c>
    </row>
    <row r="7">
      <c r="B7" s="6" t="inlineStr">
        <is>
          <t>Penetration ramp — year 2</t>
        </is>
      </c>
      <c r="C7" s="7" t="n">
        <v>0.13</v>
      </c>
      <c r="D7" s="8" t="inlineStr">
        <is>
          <t>% addr</t>
        </is>
      </c>
      <c r="E7" s="8" t="inlineStr">
        <is>
          <t>interpolation toward the 20% benchmark</t>
        </is>
      </c>
    </row>
    <row r="8">
      <c r="B8" s="6" t="inlineStr">
        <is>
          <t>Penetration ramp — year 3</t>
        </is>
      </c>
      <c r="C8" s="7" t="n">
        <v>0.2</v>
      </c>
      <c r="D8" s="8" t="inlineStr">
        <is>
          <t>% addr</t>
        </is>
      </c>
      <c r="E8" s="8" t="inlineStr">
        <is>
          <t>the benchmark itself</t>
        </is>
      </c>
    </row>
    <row r="9">
      <c r="B9" s="6" t="inlineStr">
        <is>
          <t>Penetration ramp — year 4</t>
        </is>
      </c>
      <c r="C9" s="7" t="n">
        <v>0.22</v>
      </c>
      <c r="D9" s="8" t="inlineStr">
        <is>
          <t>% addr</t>
        </is>
      </c>
      <c r="E9" s="8" t="inlineStr">
        <is>
          <t>modest continued growth past benchmark</t>
        </is>
      </c>
    </row>
    <row r="10">
      <c r="B10" s="6" t="inlineStr">
        <is>
          <t>Penetration ramp — year 5</t>
        </is>
      </c>
      <c r="C10" s="7" t="n">
        <v>0.24</v>
      </c>
      <c r="D10" s="8" t="inlineStr">
        <is>
          <t>% addr</t>
        </is>
      </c>
      <c r="E10" s="8" t="inlineStr">
        <is>
          <t>modest continued growth past benchmark</t>
        </is>
      </c>
    </row>
    <row r="11">
      <c r="B11" s="6" t="inlineStr">
        <is>
          <t>Months to reimbursed revenue</t>
        </is>
      </c>
      <c r="C11" s="9" t="n">
        <v>12</v>
      </c>
      <c r="D11" s="8" t="inlineStr">
        <is>
          <t>months</t>
        </is>
      </c>
      <c r="E11" s="8" t="inlineStr">
        <is>
          <t>pack: Netherlands national report (~12 months, single national procurement route)</t>
        </is>
      </c>
    </row>
    <row r="12">
      <c r="B12" s="6" t="inlineStr">
        <is>
          <t>Price per test</t>
        </is>
      </c>
      <c r="C12" s="9" t="n">
        <v>215</v>
      </c>
      <c r="D12" s="8" t="inlineStr">
        <is>
          <t>EUR</t>
        </is>
      </c>
      <c r="E12" s="8" t="inlineStr">
        <is>
          <t>pack: Netherlands national report tariff guidance</t>
        </is>
      </c>
    </row>
    <row r="13">
      <c r="B13" s="6" t="inlineStr">
        <is>
          <t>COGS per test — year 1</t>
        </is>
      </c>
      <c r="C13" s="9" t="n">
        <v>58</v>
      </c>
      <c r="D13" s="8" t="inlineStr">
        <is>
          <t>EUR</t>
        </is>
      </c>
      <c r="E13" s="8" t="inlineStr">
        <is>
          <t>pack: company briefing</t>
        </is>
      </c>
    </row>
    <row r="14">
      <c r="B14" s="6" t="inlineStr">
        <is>
          <t>COGS per test — year 5</t>
        </is>
      </c>
      <c r="C14" s="9" t="n">
        <v>44</v>
      </c>
      <c r="D14" s="8" t="inlineStr">
        <is>
          <t>EUR</t>
        </is>
      </c>
      <c r="E14" s="8" t="inlineStr">
        <is>
          <t>pack: company briefing (linear in between)</t>
        </is>
      </c>
    </row>
    <row r="16">
      <c r="B16" s="5" t="inlineStr">
        <is>
          <t>B · Cost structure (EDITABLE)</t>
        </is>
      </c>
      <c r="C16" s="5" t="inlineStr">
        <is>
          <t>Value</t>
        </is>
      </c>
      <c r="D16" s="5" t="inlineStr">
        <is>
          <t>Unit</t>
        </is>
      </c>
      <c r="E16" s="5" t="inlineStr">
        <is>
          <t>Basis</t>
        </is>
      </c>
    </row>
    <row r="17">
      <c r="B17" s="6" t="inlineStr">
        <is>
          <t>Corporate operating cost / year</t>
        </is>
      </c>
      <c r="C17" s="9" t="n">
        <v>1800000</v>
      </c>
      <c r="D17" s="8" t="inlineStr">
        <is>
          <t>EUR</t>
        </is>
      </c>
      <c r="E17" s="8" t="inlineStr">
        <is>
          <t>pack: company briefing (HQ, R&amp;D, G&amp;A — incurred regardless of market)</t>
        </is>
      </c>
    </row>
    <row r="18">
      <c r="B18" s="6" t="inlineStr">
        <is>
          <t>In-market commercial cost / year — Netherlands</t>
        </is>
      </c>
      <c r="C18" s="9" t="n">
        <v>350000</v>
      </c>
      <c r="D18" s="8" t="inlineStr">
        <is>
          <t>EUR</t>
        </is>
      </c>
      <c r="E18" s="8" t="inlineStr">
        <is>
          <t>pack: landscape table (internal estimate)</t>
        </is>
      </c>
    </row>
    <row r="19">
      <c r="B19" s="6" t="inlineStr">
        <is>
          <t>One-time entry cost — Netherlands</t>
        </is>
      </c>
      <c r="C19" s="9" t="n">
        <v>200000</v>
      </c>
      <c r="D19" s="8" t="inlineStr">
        <is>
          <t>EUR</t>
        </is>
      </c>
      <c r="E19" s="8" t="inlineStr">
        <is>
          <t>pack: landscape table (internal estimate)</t>
        </is>
      </c>
    </row>
    <row r="20">
      <c r="B20" s="6" t="inlineStr">
        <is>
          <t>Cash on hand at entry</t>
        </is>
      </c>
      <c r="C20" s="9" t="n">
        <v>4000000</v>
      </c>
      <c r="D20" s="8" t="inlineStr">
        <is>
          <t>EUR</t>
        </is>
      </c>
      <c r="E20" s="8" t="inlineStr">
        <is>
          <t>pack: company briefing</t>
        </is>
      </c>
    </row>
    <row r="22">
      <c r="B22" s="5" t="inlineStr">
        <is>
          <t>C · Market inputs — Netherlands (pipeline-extracted)</t>
        </is>
      </c>
      <c r="C22" s="5" t="inlineStr">
        <is>
          <t>Value</t>
        </is>
      </c>
      <c r="D22" s="5" t="inlineStr">
        <is>
          <t>Unit</t>
        </is>
      </c>
      <c r="E22" s="5" t="inlineStr">
        <is>
          <t>Basis</t>
        </is>
      </c>
    </row>
    <row r="23">
      <c r="B23" s="6" t="inlineStr">
        <is>
          <t>Eligible population 50–74</t>
        </is>
      </c>
      <c r="C23" s="10" t="n">
        <v>4950000</v>
      </c>
      <c r="D23" s="8" t="inlineStr"/>
      <c r="E23" s="8" t="inlineStr">
        <is>
          <t>pack: national screening report</t>
        </is>
      </c>
    </row>
    <row r="24">
      <c r="B24" s="6" t="inlineStr">
        <is>
          <t>Programme participation</t>
        </is>
      </c>
      <c r="C24" s="11" t="n">
        <v>0.71</v>
      </c>
      <c r="D24" s="8" t="inlineStr"/>
      <c r="E24" s="8" t="inlineStr">
        <is>
          <t>pack: national screening report</t>
        </is>
      </c>
    </row>
    <row r="25">
      <c r="B25" s="6" t="inlineStr">
        <is>
          <t>FIT positivity rate</t>
        </is>
      </c>
      <c r="C25" s="11" t="n">
        <v>0.091</v>
      </c>
      <c r="D25" s="8" t="inlineStr"/>
      <c r="E25" s="8" t="inlineStr">
        <is>
          <t>pack: national screening report</t>
        </is>
      </c>
    </row>
    <row r="26">
      <c r="B26" s="6" t="inlineStr">
        <is>
          <t>Colonoscopy reimbursement tariff</t>
        </is>
      </c>
      <c r="C26" s="10" t="n">
        <v>650</v>
      </c>
      <c r="D26" s="8" t="inlineStr"/>
      <c r="E26" s="8" t="inlineStr">
        <is>
          <t>pack: national screening report</t>
        </is>
      </c>
    </row>
    <row r="27">
      <c r="B27" s="6" t="inlineStr">
        <is>
          <t>Safe deferral rate (clinical study)</t>
        </is>
      </c>
      <c r="C27" s="11" t="n">
        <v>0.45</v>
      </c>
      <c r="D27" s="8" t="inlineStr"/>
      <c r="E27" s="8" t="inlineStr">
        <is>
          <t>pack: company briefing — 1,200-patient prospective study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6" customWidth="1" min="8" max="8"/>
  </cols>
  <sheetData>
    <row r="2">
      <c r="B2" s="1" t="inlineStr">
        <is>
          <t>Netherlands — five-year model</t>
        </is>
      </c>
    </row>
    <row r="3">
      <c r="B3" s="2" t="inlineStr">
        <is>
          <t>Formulas only — driven entirely by '1 Assumptions'.</t>
        </is>
      </c>
    </row>
    <row r="5">
      <c r="B5" s="12" t="inlineStr">
        <is>
          <t>Addressable FIT-positive / year</t>
        </is>
      </c>
      <c r="C5" s="12">
        <f>elig*part/2*pos</f>
        <v/>
      </c>
      <c r="H5" s="2" t="inlineStr">
        <is>
          <t>eligible × participation ÷ 2 (biennial) × positivity</t>
        </is>
      </c>
    </row>
    <row r="6">
      <c r="B6" s="6" t="inlineStr">
        <is>
          <t>Revenue offset (years, delay rounded up)</t>
        </is>
      </c>
      <c r="C6" s="13">
        <f>CEILING(delay_m/12,1)</f>
        <v/>
      </c>
    </row>
    <row r="8">
      <c r="B8" s="5" t="inlineStr">
        <is>
          <t>P&amp;L and cash</t>
        </is>
      </c>
      <c r="C8" s="14" t="inlineStr">
        <is>
          <t>Y1</t>
        </is>
      </c>
      <c r="D8" s="14" t="inlineStr">
        <is>
          <t>Y2</t>
        </is>
      </c>
      <c r="E8" s="14" t="inlineStr">
        <is>
          <t>Y3</t>
        </is>
      </c>
      <c r="F8" s="14" t="inlineStr">
        <is>
          <t>Y4</t>
        </is>
      </c>
      <c r="G8" s="14" t="inlineStr">
        <is>
          <t>Y5</t>
        </is>
      </c>
      <c r="H8" s="5" t="inlineStr">
        <is>
          <t>Formula logic</t>
        </is>
      </c>
    </row>
    <row r="9">
      <c r="B9" s="6" t="inlineStr">
        <is>
          <t>Ramp (share of addressable)</t>
        </is>
      </c>
      <c r="C9" s="15">
        <f>IF(1&gt;offs,INDEX(ramp,MIN(1-offs,5)),0)</f>
        <v/>
      </c>
      <c r="D9" s="15">
        <f>IF(2&gt;offs,INDEX(ramp,MIN(2-offs,5)),0)</f>
        <v/>
      </c>
      <c r="E9" s="15">
        <f>IF(3&gt;offs,INDEX(ramp,MIN(3-offs,5)),0)</f>
        <v/>
      </c>
      <c r="F9" s="15">
        <f>IF(4&gt;offs,INDEX(ramp,MIN(4-offs,5)),0)</f>
        <v/>
      </c>
      <c r="G9" s="15">
        <f>IF(5&gt;offs,INDEX(ramp,MIN(5-offs,5)),0)</f>
        <v/>
      </c>
      <c r="H9" s="2" t="inlineStr">
        <is>
          <t>0 until reimbursement; then the assumption ramp</t>
        </is>
      </c>
    </row>
    <row r="10">
      <c r="B10" s="6" t="inlineStr">
        <is>
          <t>Tests processed</t>
        </is>
      </c>
      <c r="C10" s="16">
        <f>C9*addr</f>
        <v/>
      </c>
      <c r="D10" s="16">
        <f>D9*addr</f>
        <v/>
      </c>
      <c r="E10" s="16">
        <f>E9*addr</f>
        <v/>
      </c>
      <c r="F10" s="16">
        <f>F9*addr</f>
        <v/>
      </c>
      <c r="G10" s="16">
        <f>G9*addr</f>
        <v/>
      </c>
      <c r="H10" s="2" t="inlineStr">
        <is>
          <t>ramp × addressable</t>
        </is>
      </c>
    </row>
    <row r="11">
      <c r="B11" s="6" t="inlineStr">
        <is>
          <t>COGS per test</t>
        </is>
      </c>
      <c r="C11" s="17">
        <f>cogs1+(cogs5-cogs1)*0/4</f>
        <v/>
      </c>
      <c r="D11" s="17">
        <f>cogs1+(cogs5-cogs1)*1/4</f>
        <v/>
      </c>
      <c r="E11" s="17">
        <f>cogs1+(cogs5-cogs1)*2/4</f>
        <v/>
      </c>
      <c r="F11" s="17">
        <f>cogs1+(cogs5-cogs1)*3/4</f>
        <v/>
      </c>
      <c r="G11" s="17">
        <f>cogs1+(cogs5-cogs1)*4/4</f>
        <v/>
      </c>
      <c r="H11" s="2" t="inlineStr">
        <is>
          <t>linear 58 → 44 (pack)</t>
        </is>
      </c>
    </row>
    <row r="12">
      <c r="B12" s="6" t="inlineStr">
        <is>
          <t>Revenue</t>
        </is>
      </c>
      <c r="C12" s="16">
        <f>C10*price</f>
        <v/>
      </c>
      <c r="D12" s="16">
        <f>D10*price</f>
        <v/>
      </c>
      <c r="E12" s="16">
        <f>E10*price</f>
        <v/>
      </c>
      <c r="F12" s="16">
        <f>F10*price</f>
        <v/>
      </c>
      <c r="G12" s="16">
        <f>G10*price</f>
        <v/>
      </c>
      <c r="H12" s="2" t="inlineStr">
        <is>
          <t>tests × price</t>
        </is>
      </c>
    </row>
    <row r="13">
      <c r="B13" s="6" t="inlineStr">
        <is>
          <t>Cost of goods</t>
        </is>
      </c>
      <c r="C13" s="16">
        <f>-C10*C11</f>
        <v/>
      </c>
      <c r="D13" s="16">
        <f>-D10*D11</f>
        <v/>
      </c>
      <c r="E13" s="16">
        <f>-E10*E11</f>
        <v/>
      </c>
      <c r="F13" s="16">
        <f>-F10*F11</f>
        <v/>
      </c>
      <c r="G13" s="16">
        <f>-G10*G11</f>
        <v/>
      </c>
      <c r="H13" s="2" t="inlineStr">
        <is>
          <t>tests × COGS/test</t>
        </is>
      </c>
    </row>
    <row r="14">
      <c r="B14" s="18" t="inlineStr">
        <is>
          <t>Gross margin</t>
        </is>
      </c>
      <c r="C14" s="16">
        <f>C12+C13</f>
        <v/>
      </c>
      <c r="D14" s="16">
        <f>D12+D13</f>
        <v/>
      </c>
      <c r="E14" s="16">
        <f>E12+E13</f>
        <v/>
      </c>
      <c r="F14" s="16">
        <f>F12+F13</f>
        <v/>
      </c>
      <c r="G14" s="16">
        <f>G12+G13</f>
        <v/>
      </c>
      <c r="H14" s="2" t="inlineStr"/>
    </row>
    <row r="15">
      <c r="B15" s="6" t="inlineStr">
        <is>
          <t>In-market commercial cost</t>
        </is>
      </c>
      <c r="C15" s="16">
        <f>-inmkt</f>
        <v/>
      </c>
      <c r="D15" s="16">
        <f>-inmkt</f>
        <v/>
      </c>
      <c r="E15" s="16">
        <f>-inmkt</f>
        <v/>
      </c>
      <c r="F15" s="16">
        <f>-inmkt</f>
        <v/>
      </c>
      <c r="G15" s="16">
        <f>-inmkt</f>
        <v/>
      </c>
      <c r="H15" s="2" t="inlineStr">
        <is>
          <t>landscape internal estimate</t>
        </is>
      </c>
    </row>
    <row r="16">
      <c r="B16" s="6" t="inlineStr">
        <is>
          <t>Corporate operating cost</t>
        </is>
      </c>
      <c r="C16" s="16">
        <f>-corp</f>
        <v/>
      </c>
      <c r="D16" s="16">
        <f>-corp</f>
        <v/>
      </c>
      <c r="E16" s="16">
        <f>-corp</f>
        <v/>
      </c>
      <c r="F16" s="16">
        <f>-corp</f>
        <v/>
      </c>
      <c r="G16" s="16">
        <f>-corp</f>
        <v/>
      </c>
      <c r="H16" s="2" t="inlineStr">
        <is>
          <t>incurred regardless of market</t>
        </is>
      </c>
    </row>
    <row r="17">
      <c r="B17" s="18" t="inlineStr">
        <is>
          <t>EBITDA (company level)</t>
        </is>
      </c>
      <c r="C17" s="16">
        <f>C14+C15+C16</f>
        <v/>
      </c>
      <c r="D17" s="16">
        <f>D14+D15+D16</f>
        <v/>
      </c>
      <c r="E17" s="16">
        <f>E14+E15+E16</f>
        <v/>
      </c>
      <c r="F17" s="16">
        <f>F14+F15+F16</f>
        <v/>
      </c>
      <c r="G17" s="16">
        <f>G14+G15+G16</f>
        <v/>
      </c>
      <c r="H17" s="2" t="inlineStr"/>
    </row>
    <row r="18" hidden="1">
      <c r="B18" s="6" t="inlineStr">
        <is>
          <t>EBITDA-positive flag</t>
        </is>
      </c>
      <c r="C18" s="13">
        <f>IF(C17&gt;0,1,0)</f>
        <v/>
      </c>
      <c r="D18" s="13">
        <f>IF(D17&gt;0,1,0)</f>
        <v/>
      </c>
      <c r="E18" s="13">
        <f>IF(E17&gt;0,1,0)</f>
        <v/>
      </c>
      <c r="F18" s="13">
        <f>IF(F17&gt;0,1,0)</f>
        <v/>
      </c>
      <c r="G18" s="13">
        <f>IF(G17&gt;0,1,0)</f>
        <v/>
      </c>
      <c r="H18" s="2" t="inlineStr">
        <is>
          <t>helper for break-even lookup</t>
        </is>
      </c>
    </row>
    <row r="19">
      <c r="B19" s="18" t="inlineStr">
        <is>
          <t>Cash (year end)</t>
        </is>
      </c>
      <c r="C19" s="16">
        <f>cash0-entry+C17</f>
        <v/>
      </c>
      <c r="D19" s="16">
        <f>C19+D17</f>
        <v/>
      </c>
      <c r="E19" s="16">
        <f>D19+E17</f>
        <v/>
      </c>
      <c r="F19" s="16">
        <f>E19+F17</f>
        <v/>
      </c>
      <c r="G19" s="16">
        <f>F19+G17</f>
        <v/>
      </c>
      <c r="H19" s="2" t="inlineStr">
        <is>
          <t>entry cost deducted in Y1</t>
        </is>
      </c>
    </row>
    <row r="21">
      <c r="B21" s="5" t="inlineStr">
        <is>
          <t>Outputs</t>
        </is>
      </c>
      <c r="C21" s="5" t="inlineStr"/>
      <c r="D21" s="5" t="inlineStr"/>
    </row>
    <row r="22">
      <c r="B22" s="18" t="inlineStr">
        <is>
          <t>Break-even year (EBITDA &gt; 0)</t>
        </is>
      </c>
      <c r="C22" s="19">
        <f>IFERROR("Y"&amp;MATCH(1,C18:G18,0),"beyond Y5")</f>
        <v/>
      </c>
    </row>
    <row r="23">
      <c r="B23" s="18" t="inlineStr">
        <is>
          <t>Cash trough (minimum cash)</t>
        </is>
      </c>
      <c r="C23" s="12">
        <f>MIN(C19:G19)</f>
        <v/>
      </c>
      <c r="H23" s="2" t="inlineStr">
        <is>
          <t>the number the board should watch</t>
        </is>
      </c>
    </row>
    <row r="24">
      <c r="B24" s="18" t="inlineStr">
        <is>
          <t>End cash, Y5</t>
        </is>
      </c>
      <c r="C24" s="12">
        <f>G19</f>
        <v/>
      </c>
    </row>
    <row r="25">
      <c r="B25" s="18" t="inlineStr">
        <is>
          <t>Runway check</t>
        </is>
      </c>
      <c r="C25" s="19">
        <f>IF(C23&lt;0,"INSOLVENT — runway exhausted","survives on current assumptions")</f>
        <v/>
      </c>
    </row>
    <row r="26">
      <c r="B26" s="18" t="inlineStr">
        <is>
          <t>System saving per 100 FIT+ triaged</t>
        </is>
      </c>
      <c r="C26" s="12">
        <f>defer*100*tariff-100*price</f>
        <v/>
      </c>
      <c r="H26" s="2" t="inlineStr">
        <is>
          <t>each avoided colonoscopy (45/100) saves the tariff; each test costs the price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</cols>
  <sheetData>
    <row r="2">
      <c r="B2" s="1" t="inlineStr">
        <is>
          <t>Sensitivity — live scenario engine</t>
        </is>
      </c>
    </row>
    <row r="3">
      <c r="B3" s="2" t="inlineStr">
        <is>
          <t>Every cell is a formula over the same named assumptions; the grids recalc with the model.</t>
        </is>
      </c>
    </row>
    <row r="6">
      <c r="B6" s="5" t="inlineStr">
        <is>
          <t>Engine (12 scenarios)</t>
        </is>
      </c>
      <c r="C6" s="5" t="inlineStr">
        <is>
          <t>mult</t>
        </is>
      </c>
      <c r="D6" s="5" t="inlineStr">
        <is>
          <t>delay</t>
        </is>
      </c>
      <c r="E6" s="5" t="inlineStr">
        <is>
          <t>offs</t>
        </is>
      </c>
      <c r="F6" s="5" t="inlineStr">
        <is>
          <t>EBITDA Y1</t>
        </is>
      </c>
      <c r="G6" s="5" t="inlineStr">
        <is>
          <t>EBITDA Y2</t>
        </is>
      </c>
      <c r="H6" s="5" t="inlineStr">
        <is>
          <t>EBITDA Y3</t>
        </is>
      </c>
      <c r="I6" s="5" t="inlineStr">
        <is>
          <t>EBITDA Y4</t>
        </is>
      </c>
      <c r="J6" s="5" t="inlineStr">
        <is>
          <t>EBITDA Y5</t>
        </is>
      </c>
      <c r="K6" s="5" t="inlineStr">
        <is>
          <t>Cash Y1</t>
        </is>
      </c>
      <c r="L6" s="5" t="inlineStr">
        <is>
          <t>Cash Y2</t>
        </is>
      </c>
      <c r="M6" s="5" t="inlineStr">
        <is>
          <t>Cash Y3</t>
        </is>
      </c>
      <c r="N6" s="5" t="inlineStr">
        <is>
          <t>Cash Y4</t>
        </is>
      </c>
      <c r="O6" s="5" t="inlineStr">
        <is>
          <t>Cash Y5</t>
        </is>
      </c>
      <c r="P6" s="5" t="inlineStr">
        <is>
          <t>BE year</t>
        </is>
      </c>
      <c r="Q6" s="5" t="inlineStr">
        <is>
          <t>Min cash</t>
        </is>
      </c>
      <c r="R6" s="5" t="inlineStr">
        <is>
          <t>End cash</t>
        </is>
      </c>
    </row>
    <row r="7">
      <c r="B7" s="8" t="inlineStr">
        <is>
          <t>×0.50 / 12m</t>
        </is>
      </c>
      <c r="C7" s="20" t="n">
        <v>0.5</v>
      </c>
      <c r="D7" s="13" t="n">
        <v>12</v>
      </c>
      <c r="E7" s="13">
        <f>CEILING(D7/12,1)</f>
        <v/>
      </c>
      <c r="F7" s="21">
        <f>IF(1&gt;E7,INDEX(ramp,MIN(1-E7,5)),0)*C7*addr*(price-(cogs1+(cogs5-cogs1)*0/4))-inmkt-corp</f>
        <v/>
      </c>
      <c r="G7" s="21">
        <f>IF(2&gt;E7,INDEX(ramp,MIN(2-E7,5)),0)*C7*addr*(price-(cogs1+(cogs5-cogs1)*1/4))-inmkt-corp</f>
        <v/>
      </c>
      <c r="H7" s="21">
        <f>IF(3&gt;E7,INDEX(ramp,MIN(3-E7,5)),0)*C7*addr*(price-(cogs1+(cogs5-cogs1)*2/4))-inmkt-corp</f>
        <v/>
      </c>
      <c r="I7" s="21">
        <f>IF(4&gt;E7,INDEX(ramp,MIN(4-E7,5)),0)*C7*addr*(price-(cogs1+(cogs5-cogs1)*3/4))-inmkt-corp</f>
        <v/>
      </c>
      <c r="J7" s="21">
        <f>IF(5&gt;E7,INDEX(ramp,MIN(5-E7,5)),0)*C7*addr*(price-(cogs1+(cogs5-cogs1)*4/4))-inmkt-corp</f>
        <v/>
      </c>
      <c r="K7" s="21">
        <f>cash0-entry+F7</f>
        <v/>
      </c>
      <c r="L7" s="21">
        <f>K7+G7</f>
        <v/>
      </c>
      <c r="M7" s="21">
        <f>L7+H7</f>
        <v/>
      </c>
      <c r="N7" s="21">
        <f>M7+I7</f>
        <v/>
      </c>
      <c r="O7" s="21">
        <f>N7+J7</f>
        <v/>
      </c>
      <c r="P7" s="13">
        <f>IF(F7&gt;0,1,IF(G7&gt;0,2,IF(H7&gt;0,3,IF(I7&gt;0,4,IF(J7&gt;0,5,"—")))))</f>
        <v/>
      </c>
      <c r="Q7" s="21">
        <f>MIN(K7:O7)</f>
        <v/>
      </c>
      <c r="R7" s="21">
        <f>O7</f>
        <v/>
      </c>
    </row>
    <row r="8">
      <c r="B8" s="8" t="inlineStr">
        <is>
          <t>×0.50 / 18m</t>
        </is>
      </c>
      <c r="C8" s="20" t="n">
        <v>0.5</v>
      </c>
      <c r="D8" s="13" t="n">
        <v>18</v>
      </c>
      <c r="E8" s="13">
        <f>CEILING(D8/12,1)</f>
        <v/>
      </c>
      <c r="F8" s="21">
        <f>IF(1&gt;E8,INDEX(ramp,MIN(1-E8,5)),0)*C8*addr*(price-(cogs1+(cogs5-cogs1)*0/4))-inmkt-corp</f>
        <v/>
      </c>
      <c r="G8" s="21">
        <f>IF(2&gt;E8,INDEX(ramp,MIN(2-E8,5)),0)*C8*addr*(price-(cogs1+(cogs5-cogs1)*1/4))-inmkt-corp</f>
        <v/>
      </c>
      <c r="H8" s="21">
        <f>IF(3&gt;E8,INDEX(ramp,MIN(3-E8,5)),0)*C8*addr*(price-(cogs1+(cogs5-cogs1)*2/4))-inmkt-corp</f>
        <v/>
      </c>
      <c r="I8" s="21">
        <f>IF(4&gt;E8,INDEX(ramp,MIN(4-E8,5)),0)*C8*addr*(price-(cogs1+(cogs5-cogs1)*3/4))-inmkt-corp</f>
        <v/>
      </c>
      <c r="J8" s="21">
        <f>IF(5&gt;E8,INDEX(ramp,MIN(5-E8,5)),0)*C8*addr*(price-(cogs1+(cogs5-cogs1)*4/4))-inmkt-corp</f>
        <v/>
      </c>
      <c r="K8" s="21">
        <f>cash0-entry+F8</f>
        <v/>
      </c>
      <c r="L8" s="21">
        <f>K8+G8</f>
        <v/>
      </c>
      <c r="M8" s="21">
        <f>L8+H8</f>
        <v/>
      </c>
      <c r="N8" s="21">
        <f>M8+I8</f>
        <v/>
      </c>
      <c r="O8" s="21">
        <f>N8+J8</f>
        <v/>
      </c>
      <c r="P8" s="13">
        <f>IF(F8&gt;0,1,IF(G8&gt;0,2,IF(H8&gt;0,3,IF(I8&gt;0,4,IF(J8&gt;0,5,"—")))))</f>
        <v/>
      </c>
      <c r="Q8" s="21">
        <f>MIN(K8:O8)</f>
        <v/>
      </c>
      <c r="R8" s="21">
        <f>O8</f>
        <v/>
      </c>
    </row>
    <row r="9">
      <c r="B9" s="8" t="inlineStr">
        <is>
          <t>×0.50 / 24m</t>
        </is>
      </c>
      <c r="C9" s="20" t="n">
        <v>0.5</v>
      </c>
      <c r="D9" s="13" t="n">
        <v>24</v>
      </c>
      <c r="E9" s="13">
        <f>CEILING(D9/12,1)</f>
        <v/>
      </c>
      <c r="F9" s="21">
        <f>IF(1&gt;E9,INDEX(ramp,MIN(1-E9,5)),0)*C9*addr*(price-(cogs1+(cogs5-cogs1)*0/4))-inmkt-corp</f>
        <v/>
      </c>
      <c r="G9" s="21">
        <f>IF(2&gt;E9,INDEX(ramp,MIN(2-E9,5)),0)*C9*addr*(price-(cogs1+(cogs5-cogs1)*1/4))-inmkt-corp</f>
        <v/>
      </c>
      <c r="H9" s="21">
        <f>IF(3&gt;E9,INDEX(ramp,MIN(3-E9,5)),0)*C9*addr*(price-(cogs1+(cogs5-cogs1)*2/4))-inmkt-corp</f>
        <v/>
      </c>
      <c r="I9" s="21">
        <f>IF(4&gt;E9,INDEX(ramp,MIN(4-E9,5)),0)*C9*addr*(price-(cogs1+(cogs5-cogs1)*3/4))-inmkt-corp</f>
        <v/>
      </c>
      <c r="J9" s="21">
        <f>IF(5&gt;E9,INDEX(ramp,MIN(5-E9,5)),0)*C9*addr*(price-(cogs1+(cogs5-cogs1)*4/4))-inmkt-corp</f>
        <v/>
      </c>
      <c r="K9" s="21">
        <f>cash0-entry+F9</f>
        <v/>
      </c>
      <c r="L9" s="21">
        <f>K9+G9</f>
        <v/>
      </c>
      <c r="M9" s="21">
        <f>L9+H9</f>
        <v/>
      </c>
      <c r="N9" s="21">
        <f>M9+I9</f>
        <v/>
      </c>
      <c r="O9" s="21">
        <f>N9+J9</f>
        <v/>
      </c>
      <c r="P9" s="13">
        <f>IF(F9&gt;0,1,IF(G9&gt;0,2,IF(H9&gt;0,3,IF(I9&gt;0,4,IF(J9&gt;0,5,"—")))))</f>
        <v/>
      </c>
      <c r="Q9" s="21">
        <f>MIN(K9:O9)</f>
        <v/>
      </c>
      <c r="R9" s="21">
        <f>O9</f>
        <v/>
      </c>
    </row>
    <row r="10">
      <c r="B10" s="8" t="inlineStr">
        <is>
          <t>×0.75 / 12m</t>
        </is>
      </c>
      <c r="C10" s="20" t="n">
        <v>0.75</v>
      </c>
      <c r="D10" s="13" t="n">
        <v>12</v>
      </c>
      <c r="E10" s="13">
        <f>CEILING(D10/12,1)</f>
        <v/>
      </c>
      <c r="F10" s="21">
        <f>IF(1&gt;E10,INDEX(ramp,MIN(1-E10,5)),0)*C10*addr*(price-(cogs1+(cogs5-cogs1)*0/4))-inmkt-corp</f>
        <v/>
      </c>
      <c r="G10" s="21">
        <f>IF(2&gt;E10,INDEX(ramp,MIN(2-E10,5)),0)*C10*addr*(price-(cogs1+(cogs5-cogs1)*1/4))-inmkt-corp</f>
        <v/>
      </c>
      <c r="H10" s="21">
        <f>IF(3&gt;E10,INDEX(ramp,MIN(3-E10,5)),0)*C10*addr*(price-(cogs1+(cogs5-cogs1)*2/4))-inmkt-corp</f>
        <v/>
      </c>
      <c r="I10" s="21">
        <f>IF(4&gt;E10,INDEX(ramp,MIN(4-E10,5)),0)*C10*addr*(price-(cogs1+(cogs5-cogs1)*3/4))-inmkt-corp</f>
        <v/>
      </c>
      <c r="J10" s="21">
        <f>IF(5&gt;E10,INDEX(ramp,MIN(5-E10,5)),0)*C10*addr*(price-(cogs1+(cogs5-cogs1)*4/4))-inmkt-corp</f>
        <v/>
      </c>
      <c r="K10" s="21">
        <f>cash0-entry+F10</f>
        <v/>
      </c>
      <c r="L10" s="21">
        <f>K10+G10</f>
        <v/>
      </c>
      <c r="M10" s="21">
        <f>L10+H10</f>
        <v/>
      </c>
      <c r="N10" s="21">
        <f>M10+I10</f>
        <v/>
      </c>
      <c r="O10" s="21">
        <f>N10+J10</f>
        <v/>
      </c>
      <c r="P10" s="13">
        <f>IF(F10&gt;0,1,IF(G10&gt;0,2,IF(H10&gt;0,3,IF(I10&gt;0,4,IF(J10&gt;0,5,"—")))))</f>
        <v/>
      </c>
      <c r="Q10" s="21">
        <f>MIN(K10:O10)</f>
        <v/>
      </c>
      <c r="R10" s="21">
        <f>O10</f>
        <v/>
      </c>
    </row>
    <row r="11">
      <c r="B11" s="8" t="inlineStr">
        <is>
          <t>×0.75 / 18m</t>
        </is>
      </c>
      <c r="C11" s="20" t="n">
        <v>0.75</v>
      </c>
      <c r="D11" s="13" t="n">
        <v>18</v>
      </c>
      <c r="E11" s="13">
        <f>CEILING(D11/12,1)</f>
        <v/>
      </c>
      <c r="F11" s="21">
        <f>IF(1&gt;E11,INDEX(ramp,MIN(1-E11,5)),0)*C11*addr*(price-(cogs1+(cogs5-cogs1)*0/4))-inmkt-corp</f>
        <v/>
      </c>
      <c r="G11" s="21">
        <f>IF(2&gt;E11,INDEX(ramp,MIN(2-E11,5)),0)*C11*addr*(price-(cogs1+(cogs5-cogs1)*1/4))-inmkt-corp</f>
        <v/>
      </c>
      <c r="H11" s="21">
        <f>IF(3&gt;E11,INDEX(ramp,MIN(3-E11,5)),0)*C11*addr*(price-(cogs1+(cogs5-cogs1)*2/4))-inmkt-corp</f>
        <v/>
      </c>
      <c r="I11" s="21">
        <f>IF(4&gt;E11,INDEX(ramp,MIN(4-E11,5)),0)*C11*addr*(price-(cogs1+(cogs5-cogs1)*3/4))-inmkt-corp</f>
        <v/>
      </c>
      <c r="J11" s="21">
        <f>IF(5&gt;E11,INDEX(ramp,MIN(5-E11,5)),0)*C11*addr*(price-(cogs1+(cogs5-cogs1)*4/4))-inmkt-corp</f>
        <v/>
      </c>
      <c r="K11" s="21">
        <f>cash0-entry+F11</f>
        <v/>
      </c>
      <c r="L11" s="21">
        <f>K11+G11</f>
        <v/>
      </c>
      <c r="M11" s="21">
        <f>L11+H11</f>
        <v/>
      </c>
      <c r="N11" s="21">
        <f>M11+I11</f>
        <v/>
      </c>
      <c r="O11" s="21">
        <f>N11+J11</f>
        <v/>
      </c>
      <c r="P11" s="13">
        <f>IF(F11&gt;0,1,IF(G11&gt;0,2,IF(H11&gt;0,3,IF(I11&gt;0,4,IF(J11&gt;0,5,"—")))))</f>
        <v/>
      </c>
      <c r="Q11" s="21">
        <f>MIN(K11:O11)</f>
        <v/>
      </c>
      <c r="R11" s="21">
        <f>O11</f>
        <v/>
      </c>
    </row>
    <row r="12">
      <c r="B12" s="8" t="inlineStr">
        <is>
          <t>×0.75 / 24m</t>
        </is>
      </c>
      <c r="C12" s="20" t="n">
        <v>0.75</v>
      </c>
      <c r="D12" s="13" t="n">
        <v>24</v>
      </c>
      <c r="E12" s="13">
        <f>CEILING(D12/12,1)</f>
        <v/>
      </c>
      <c r="F12" s="21">
        <f>IF(1&gt;E12,INDEX(ramp,MIN(1-E12,5)),0)*C12*addr*(price-(cogs1+(cogs5-cogs1)*0/4))-inmkt-corp</f>
        <v/>
      </c>
      <c r="G12" s="21">
        <f>IF(2&gt;E12,INDEX(ramp,MIN(2-E12,5)),0)*C12*addr*(price-(cogs1+(cogs5-cogs1)*1/4))-inmkt-corp</f>
        <v/>
      </c>
      <c r="H12" s="21">
        <f>IF(3&gt;E12,INDEX(ramp,MIN(3-E12,5)),0)*C12*addr*(price-(cogs1+(cogs5-cogs1)*2/4))-inmkt-corp</f>
        <v/>
      </c>
      <c r="I12" s="21">
        <f>IF(4&gt;E12,INDEX(ramp,MIN(4-E12,5)),0)*C12*addr*(price-(cogs1+(cogs5-cogs1)*3/4))-inmkt-corp</f>
        <v/>
      </c>
      <c r="J12" s="21">
        <f>IF(5&gt;E12,INDEX(ramp,MIN(5-E12,5)),0)*C12*addr*(price-(cogs1+(cogs5-cogs1)*4/4))-inmkt-corp</f>
        <v/>
      </c>
      <c r="K12" s="21">
        <f>cash0-entry+F12</f>
        <v/>
      </c>
      <c r="L12" s="21">
        <f>K12+G12</f>
        <v/>
      </c>
      <c r="M12" s="21">
        <f>L12+H12</f>
        <v/>
      </c>
      <c r="N12" s="21">
        <f>M12+I12</f>
        <v/>
      </c>
      <c r="O12" s="21">
        <f>N12+J12</f>
        <v/>
      </c>
      <c r="P12" s="13">
        <f>IF(F12&gt;0,1,IF(G12&gt;0,2,IF(H12&gt;0,3,IF(I12&gt;0,4,IF(J12&gt;0,5,"—")))))</f>
        <v/>
      </c>
      <c r="Q12" s="21">
        <f>MIN(K12:O12)</f>
        <v/>
      </c>
      <c r="R12" s="21">
        <f>O12</f>
        <v/>
      </c>
    </row>
    <row r="13">
      <c r="B13" s="8" t="inlineStr">
        <is>
          <t>×1.00 / 12m</t>
        </is>
      </c>
      <c r="C13" s="20" t="n">
        <v>1</v>
      </c>
      <c r="D13" s="13" t="n">
        <v>12</v>
      </c>
      <c r="E13" s="13">
        <f>CEILING(D13/12,1)</f>
        <v/>
      </c>
      <c r="F13" s="21">
        <f>IF(1&gt;E13,INDEX(ramp,MIN(1-E13,5)),0)*C13*addr*(price-(cogs1+(cogs5-cogs1)*0/4))-inmkt-corp</f>
        <v/>
      </c>
      <c r="G13" s="21">
        <f>IF(2&gt;E13,INDEX(ramp,MIN(2-E13,5)),0)*C13*addr*(price-(cogs1+(cogs5-cogs1)*1/4))-inmkt-corp</f>
        <v/>
      </c>
      <c r="H13" s="21">
        <f>IF(3&gt;E13,INDEX(ramp,MIN(3-E13,5)),0)*C13*addr*(price-(cogs1+(cogs5-cogs1)*2/4))-inmkt-corp</f>
        <v/>
      </c>
      <c r="I13" s="21">
        <f>IF(4&gt;E13,INDEX(ramp,MIN(4-E13,5)),0)*C13*addr*(price-(cogs1+(cogs5-cogs1)*3/4))-inmkt-corp</f>
        <v/>
      </c>
      <c r="J13" s="21">
        <f>IF(5&gt;E13,INDEX(ramp,MIN(5-E13,5)),0)*C13*addr*(price-(cogs1+(cogs5-cogs1)*4/4))-inmkt-corp</f>
        <v/>
      </c>
      <c r="K13" s="21">
        <f>cash0-entry+F13</f>
        <v/>
      </c>
      <c r="L13" s="21">
        <f>K13+G13</f>
        <v/>
      </c>
      <c r="M13" s="21">
        <f>L13+H13</f>
        <v/>
      </c>
      <c r="N13" s="21">
        <f>M13+I13</f>
        <v/>
      </c>
      <c r="O13" s="21">
        <f>N13+J13</f>
        <v/>
      </c>
      <c r="P13" s="13">
        <f>IF(F13&gt;0,1,IF(G13&gt;0,2,IF(H13&gt;0,3,IF(I13&gt;0,4,IF(J13&gt;0,5,"—")))))</f>
        <v/>
      </c>
      <c r="Q13" s="21">
        <f>MIN(K13:O13)</f>
        <v/>
      </c>
      <c r="R13" s="21">
        <f>O13</f>
        <v/>
      </c>
    </row>
    <row r="14">
      <c r="B14" s="8" t="inlineStr">
        <is>
          <t>×1.00 / 18m</t>
        </is>
      </c>
      <c r="C14" s="20" t="n">
        <v>1</v>
      </c>
      <c r="D14" s="13" t="n">
        <v>18</v>
      </c>
      <c r="E14" s="13">
        <f>CEILING(D14/12,1)</f>
        <v/>
      </c>
      <c r="F14" s="21">
        <f>IF(1&gt;E14,INDEX(ramp,MIN(1-E14,5)),0)*C14*addr*(price-(cogs1+(cogs5-cogs1)*0/4))-inmkt-corp</f>
        <v/>
      </c>
      <c r="G14" s="21">
        <f>IF(2&gt;E14,INDEX(ramp,MIN(2-E14,5)),0)*C14*addr*(price-(cogs1+(cogs5-cogs1)*1/4))-inmkt-corp</f>
        <v/>
      </c>
      <c r="H14" s="21">
        <f>IF(3&gt;E14,INDEX(ramp,MIN(3-E14,5)),0)*C14*addr*(price-(cogs1+(cogs5-cogs1)*2/4))-inmkt-corp</f>
        <v/>
      </c>
      <c r="I14" s="21">
        <f>IF(4&gt;E14,INDEX(ramp,MIN(4-E14,5)),0)*C14*addr*(price-(cogs1+(cogs5-cogs1)*3/4))-inmkt-corp</f>
        <v/>
      </c>
      <c r="J14" s="21">
        <f>IF(5&gt;E14,INDEX(ramp,MIN(5-E14,5)),0)*C14*addr*(price-(cogs1+(cogs5-cogs1)*4/4))-inmkt-corp</f>
        <v/>
      </c>
      <c r="K14" s="21">
        <f>cash0-entry+F14</f>
        <v/>
      </c>
      <c r="L14" s="21">
        <f>K14+G14</f>
        <v/>
      </c>
      <c r="M14" s="21">
        <f>L14+H14</f>
        <v/>
      </c>
      <c r="N14" s="21">
        <f>M14+I14</f>
        <v/>
      </c>
      <c r="O14" s="21">
        <f>N14+J14</f>
        <v/>
      </c>
      <c r="P14" s="13">
        <f>IF(F14&gt;0,1,IF(G14&gt;0,2,IF(H14&gt;0,3,IF(I14&gt;0,4,IF(J14&gt;0,5,"—")))))</f>
        <v/>
      </c>
      <c r="Q14" s="21">
        <f>MIN(K14:O14)</f>
        <v/>
      </c>
      <c r="R14" s="21">
        <f>O14</f>
        <v/>
      </c>
    </row>
    <row r="15">
      <c r="B15" s="8" t="inlineStr">
        <is>
          <t>×1.00 / 24m</t>
        </is>
      </c>
      <c r="C15" s="20" t="n">
        <v>1</v>
      </c>
      <c r="D15" s="13" t="n">
        <v>24</v>
      </c>
      <c r="E15" s="13">
        <f>CEILING(D15/12,1)</f>
        <v/>
      </c>
      <c r="F15" s="21">
        <f>IF(1&gt;E15,INDEX(ramp,MIN(1-E15,5)),0)*C15*addr*(price-(cogs1+(cogs5-cogs1)*0/4))-inmkt-corp</f>
        <v/>
      </c>
      <c r="G15" s="21">
        <f>IF(2&gt;E15,INDEX(ramp,MIN(2-E15,5)),0)*C15*addr*(price-(cogs1+(cogs5-cogs1)*1/4))-inmkt-corp</f>
        <v/>
      </c>
      <c r="H15" s="21">
        <f>IF(3&gt;E15,INDEX(ramp,MIN(3-E15,5)),0)*C15*addr*(price-(cogs1+(cogs5-cogs1)*2/4))-inmkt-corp</f>
        <v/>
      </c>
      <c r="I15" s="21">
        <f>IF(4&gt;E15,INDEX(ramp,MIN(4-E15,5)),0)*C15*addr*(price-(cogs1+(cogs5-cogs1)*3/4))-inmkt-corp</f>
        <v/>
      </c>
      <c r="J15" s="21">
        <f>IF(5&gt;E15,INDEX(ramp,MIN(5-E15,5)),0)*C15*addr*(price-(cogs1+(cogs5-cogs1)*4/4))-inmkt-corp</f>
        <v/>
      </c>
      <c r="K15" s="21">
        <f>cash0-entry+F15</f>
        <v/>
      </c>
      <c r="L15" s="21">
        <f>K15+G15</f>
        <v/>
      </c>
      <c r="M15" s="21">
        <f>L15+H15</f>
        <v/>
      </c>
      <c r="N15" s="21">
        <f>M15+I15</f>
        <v/>
      </c>
      <c r="O15" s="21">
        <f>N15+J15</f>
        <v/>
      </c>
      <c r="P15" s="13">
        <f>IF(F15&gt;0,1,IF(G15&gt;0,2,IF(H15&gt;0,3,IF(I15&gt;0,4,IF(J15&gt;0,5,"—")))))</f>
        <v/>
      </c>
      <c r="Q15" s="21">
        <f>MIN(K15:O15)</f>
        <v/>
      </c>
      <c r="R15" s="21">
        <f>O15</f>
        <v/>
      </c>
    </row>
    <row r="16">
      <c r="B16" s="8" t="inlineStr">
        <is>
          <t>×1.25 / 12m</t>
        </is>
      </c>
      <c r="C16" s="20" t="n">
        <v>1.25</v>
      </c>
      <c r="D16" s="13" t="n">
        <v>12</v>
      </c>
      <c r="E16" s="13">
        <f>CEILING(D16/12,1)</f>
        <v/>
      </c>
      <c r="F16" s="21">
        <f>IF(1&gt;E16,INDEX(ramp,MIN(1-E16,5)),0)*C16*addr*(price-(cogs1+(cogs5-cogs1)*0/4))-inmkt-corp</f>
        <v/>
      </c>
      <c r="G16" s="21">
        <f>IF(2&gt;E16,INDEX(ramp,MIN(2-E16,5)),0)*C16*addr*(price-(cogs1+(cogs5-cogs1)*1/4))-inmkt-corp</f>
        <v/>
      </c>
      <c r="H16" s="21">
        <f>IF(3&gt;E16,INDEX(ramp,MIN(3-E16,5)),0)*C16*addr*(price-(cogs1+(cogs5-cogs1)*2/4))-inmkt-corp</f>
        <v/>
      </c>
      <c r="I16" s="21">
        <f>IF(4&gt;E16,INDEX(ramp,MIN(4-E16,5)),0)*C16*addr*(price-(cogs1+(cogs5-cogs1)*3/4))-inmkt-corp</f>
        <v/>
      </c>
      <c r="J16" s="21">
        <f>IF(5&gt;E16,INDEX(ramp,MIN(5-E16,5)),0)*C16*addr*(price-(cogs1+(cogs5-cogs1)*4/4))-inmkt-corp</f>
        <v/>
      </c>
      <c r="K16" s="21">
        <f>cash0-entry+F16</f>
        <v/>
      </c>
      <c r="L16" s="21">
        <f>K16+G16</f>
        <v/>
      </c>
      <c r="M16" s="21">
        <f>L16+H16</f>
        <v/>
      </c>
      <c r="N16" s="21">
        <f>M16+I16</f>
        <v/>
      </c>
      <c r="O16" s="21">
        <f>N16+J16</f>
        <v/>
      </c>
      <c r="P16" s="13">
        <f>IF(F16&gt;0,1,IF(G16&gt;0,2,IF(H16&gt;0,3,IF(I16&gt;0,4,IF(J16&gt;0,5,"—")))))</f>
        <v/>
      </c>
      <c r="Q16" s="21">
        <f>MIN(K16:O16)</f>
        <v/>
      </c>
      <c r="R16" s="21">
        <f>O16</f>
        <v/>
      </c>
    </row>
    <row r="17">
      <c r="B17" s="8" t="inlineStr">
        <is>
          <t>×1.25 / 18m</t>
        </is>
      </c>
      <c r="C17" s="20" t="n">
        <v>1.25</v>
      </c>
      <c r="D17" s="13" t="n">
        <v>18</v>
      </c>
      <c r="E17" s="13">
        <f>CEILING(D17/12,1)</f>
        <v/>
      </c>
      <c r="F17" s="21">
        <f>IF(1&gt;E17,INDEX(ramp,MIN(1-E17,5)),0)*C17*addr*(price-(cogs1+(cogs5-cogs1)*0/4))-inmkt-corp</f>
        <v/>
      </c>
      <c r="G17" s="21">
        <f>IF(2&gt;E17,INDEX(ramp,MIN(2-E17,5)),0)*C17*addr*(price-(cogs1+(cogs5-cogs1)*1/4))-inmkt-corp</f>
        <v/>
      </c>
      <c r="H17" s="21">
        <f>IF(3&gt;E17,INDEX(ramp,MIN(3-E17,5)),0)*C17*addr*(price-(cogs1+(cogs5-cogs1)*2/4))-inmkt-corp</f>
        <v/>
      </c>
      <c r="I17" s="21">
        <f>IF(4&gt;E17,INDEX(ramp,MIN(4-E17,5)),0)*C17*addr*(price-(cogs1+(cogs5-cogs1)*3/4))-inmkt-corp</f>
        <v/>
      </c>
      <c r="J17" s="21">
        <f>IF(5&gt;E17,INDEX(ramp,MIN(5-E17,5)),0)*C17*addr*(price-(cogs1+(cogs5-cogs1)*4/4))-inmkt-corp</f>
        <v/>
      </c>
      <c r="K17" s="21">
        <f>cash0-entry+F17</f>
        <v/>
      </c>
      <c r="L17" s="21">
        <f>K17+G17</f>
        <v/>
      </c>
      <c r="M17" s="21">
        <f>L17+H17</f>
        <v/>
      </c>
      <c r="N17" s="21">
        <f>M17+I17</f>
        <v/>
      </c>
      <c r="O17" s="21">
        <f>N17+J17</f>
        <v/>
      </c>
      <c r="P17" s="13">
        <f>IF(F17&gt;0,1,IF(G17&gt;0,2,IF(H17&gt;0,3,IF(I17&gt;0,4,IF(J17&gt;0,5,"—")))))</f>
        <v/>
      </c>
      <c r="Q17" s="21">
        <f>MIN(K17:O17)</f>
        <v/>
      </c>
      <c r="R17" s="21">
        <f>O17</f>
        <v/>
      </c>
    </row>
    <row r="18">
      <c r="B18" s="8" t="inlineStr">
        <is>
          <t>×1.25 / 24m</t>
        </is>
      </c>
      <c r="C18" s="20" t="n">
        <v>1.25</v>
      </c>
      <c r="D18" s="13" t="n">
        <v>24</v>
      </c>
      <c r="E18" s="13">
        <f>CEILING(D18/12,1)</f>
        <v/>
      </c>
      <c r="F18" s="21">
        <f>IF(1&gt;E18,INDEX(ramp,MIN(1-E18,5)),0)*C18*addr*(price-(cogs1+(cogs5-cogs1)*0/4))-inmkt-corp</f>
        <v/>
      </c>
      <c r="G18" s="21">
        <f>IF(2&gt;E18,INDEX(ramp,MIN(2-E18,5)),0)*C18*addr*(price-(cogs1+(cogs5-cogs1)*1/4))-inmkt-corp</f>
        <v/>
      </c>
      <c r="H18" s="21">
        <f>IF(3&gt;E18,INDEX(ramp,MIN(3-E18,5)),0)*C18*addr*(price-(cogs1+(cogs5-cogs1)*2/4))-inmkt-corp</f>
        <v/>
      </c>
      <c r="I18" s="21">
        <f>IF(4&gt;E18,INDEX(ramp,MIN(4-E18,5)),0)*C18*addr*(price-(cogs1+(cogs5-cogs1)*3/4))-inmkt-corp</f>
        <v/>
      </c>
      <c r="J18" s="21">
        <f>IF(5&gt;E18,INDEX(ramp,MIN(5-E18,5)),0)*C18*addr*(price-(cogs1+(cogs5-cogs1)*4/4))-inmkt-corp</f>
        <v/>
      </c>
      <c r="K18" s="21">
        <f>cash0-entry+F18</f>
        <v/>
      </c>
      <c r="L18" s="21">
        <f>K18+G18</f>
        <v/>
      </c>
      <c r="M18" s="21">
        <f>L18+H18</f>
        <v/>
      </c>
      <c r="N18" s="21">
        <f>M18+I18</f>
        <v/>
      </c>
      <c r="O18" s="21">
        <f>N18+J18</f>
        <v/>
      </c>
      <c r="P18" s="13">
        <f>IF(F18&gt;0,1,IF(G18&gt;0,2,IF(H18&gt;0,3,IF(I18&gt;0,4,IF(J18&gt;0,5,"—")))))</f>
        <v/>
      </c>
      <c r="Q18" s="21">
        <f>MIN(K18:O18)</f>
        <v/>
      </c>
      <c r="R18" s="21">
        <f>O18</f>
        <v/>
      </c>
    </row>
    <row r="20">
      <c r="B20" s="5" t="inlineStr">
        <is>
          <t>Presentation grids</t>
        </is>
      </c>
    </row>
    <row r="21">
      <c r="B21" s="22" t="inlineStr">
        <is>
          <t>Cash trough (EUR M) — the survival grid</t>
        </is>
      </c>
    </row>
    <row r="22">
      <c r="B22" s="23" t="inlineStr">
        <is>
          <t>ramp ↓ / delay →</t>
        </is>
      </c>
      <c r="C22" s="5" t="inlineStr">
        <is>
          <t>12 months</t>
        </is>
      </c>
      <c r="D22" s="5" t="inlineStr">
        <is>
          <t>18 months</t>
        </is>
      </c>
      <c r="E22" s="5" t="inlineStr">
        <is>
          <t>24 months</t>
        </is>
      </c>
    </row>
    <row r="23">
      <c r="B23" s="24" t="inlineStr">
        <is>
          <t>ramp ×50%</t>
        </is>
      </c>
      <c r="C23" s="21">
        <f>Q7</f>
        <v/>
      </c>
      <c r="D23" s="21">
        <f>Q8</f>
        <v/>
      </c>
      <c r="E23" s="21">
        <f>Q9</f>
        <v/>
      </c>
    </row>
    <row r="24">
      <c r="B24" s="24" t="inlineStr">
        <is>
          <t>ramp ×75%</t>
        </is>
      </c>
      <c r="C24" s="21">
        <f>Q10</f>
        <v/>
      </c>
      <c r="D24" s="21">
        <f>Q11</f>
        <v/>
      </c>
      <c r="E24" s="21">
        <f>Q12</f>
        <v/>
      </c>
    </row>
    <row r="25">
      <c r="B25" s="24" t="inlineStr">
        <is>
          <t>ramp ×100%</t>
        </is>
      </c>
      <c r="C25" s="21">
        <f>Q13</f>
        <v/>
      </c>
      <c r="D25" s="21">
        <f>Q14</f>
        <v/>
      </c>
      <c r="E25" s="21">
        <f>Q15</f>
        <v/>
      </c>
    </row>
    <row r="26">
      <c r="B26" s="24" t="inlineStr">
        <is>
          <t>ramp ×125%</t>
        </is>
      </c>
      <c r="C26" s="21">
        <f>Q16</f>
        <v/>
      </c>
      <c r="D26" s="21">
        <f>Q17</f>
        <v/>
      </c>
      <c r="E26" s="21">
        <f>Q18</f>
        <v/>
      </c>
    </row>
    <row r="29">
      <c r="B29" s="22" t="inlineStr">
        <is>
          <t>Break-even year</t>
        </is>
      </c>
    </row>
    <row r="30">
      <c r="B30" s="23" t="inlineStr">
        <is>
          <t>ramp ↓ / delay →</t>
        </is>
      </c>
      <c r="C30" s="5" t="inlineStr">
        <is>
          <t>12 months</t>
        </is>
      </c>
      <c r="D30" s="5" t="inlineStr">
        <is>
          <t>18 months</t>
        </is>
      </c>
      <c r="E30" s="5" t="inlineStr">
        <is>
          <t>24 months</t>
        </is>
      </c>
    </row>
    <row r="31">
      <c r="B31" s="24" t="inlineStr">
        <is>
          <t>ramp ×50%</t>
        </is>
      </c>
      <c r="C31" s="13">
        <f>P7</f>
        <v/>
      </c>
      <c r="D31" s="13">
        <f>P8</f>
        <v/>
      </c>
      <c r="E31" s="13">
        <f>P9</f>
        <v/>
      </c>
    </row>
    <row r="32">
      <c r="B32" s="24" t="inlineStr">
        <is>
          <t>ramp ×75%</t>
        </is>
      </c>
      <c r="C32" s="13">
        <f>P10</f>
        <v/>
      </c>
      <c r="D32" s="13">
        <f>P11</f>
        <v/>
      </c>
      <c r="E32" s="13">
        <f>P12</f>
        <v/>
      </c>
    </row>
    <row r="33">
      <c r="B33" s="24" t="inlineStr">
        <is>
          <t>ramp ×100%</t>
        </is>
      </c>
      <c r="C33" s="13">
        <f>P13</f>
        <v/>
      </c>
      <c r="D33" s="13">
        <f>P14</f>
        <v/>
      </c>
      <c r="E33" s="13">
        <f>P15</f>
        <v/>
      </c>
    </row>
    <row r="34">
      <c r="B34" s="24" t="inlineStr">
        <is>
          <t>ramp ×125%</t>
        </is>
      </c>
      <c r="C34" s="13">
        <f>P16</f>
        <v/>
      </c>
      <c r="D34" s="13">
        <f>P17</f>
        <v/>
      </c>
      <c r="E34" s="13">
        <f>P18</f>
        <v/>
      </c>
    </row>
    <row r="37">
      <c r="B37" s="22" t="inlineStr">
        <is>
          <t>End cash Y5 (EUR M)</t>
        </is>
      </c>
    </row>
    <row r="38">
      <c r="B38" s="23" t="inlineStr">
        <is>
          <t>ramp ↓ / delay →</t>
        </is>
      </c>
      <c r="C38" s="5" t="inlineStr">
        <is>
          <t>12 months</t>
        </is>
      </c>
      <c r="D38" s="5" t="inlineStr">
        <is>
          <t>18 months</t>
        </is>
      </c>
      <c r="E38" s="5" t="inlineStr">
        <is>
          <t>24 months</t>
        </is>
      </c>
    </row>
    <row r="39">
      <c r="B39" s="24" t="inlineStr">
        <is>
          <t>ramp ×50%</t>
        </is>
      </c>
      <c r="C39" s="21">
        <f>R7</f>
        <v/>
      </c>
      <c r="D39" s="21">
        <f>R8</f>
        <v/>
      </c>
      <c r="E39" s="21">
        <f>R9</f>
        <v/>
      </c>
    </row>
    <row r="40">
      <c r="B40" s="24" t="inlineStr">
        <is>
          <t>ramp ×75%</t>
        </is>
      </c>
      <c r="C40" s="21">
        <f>R10</f>
        <v/>
      </c>
      <c r="D40" s="21">
        <f>R11</f>
        <v/>
      </c>
      <c r="E40" s="21">
        <f>R12</f>
        <v/>
      </c>
    </row>
    <row r="41">
      <c r="B41" s="24" t="inlineStr">
        <is>
          <t>ramp ×100%</t>
        </is>
      </c>
      <c r="C41" s="21">
        <f>R13</f>
        <v/>
      </c>
      <c r="D41" s="21">
        <f>R14</f>
        <v/>
      </c>
      <c r="E41" s="21">
        <f>R15</f>
        <v/>
      </c>
    </row>
    <row r="42">
      <c r="B42" s="24" t="inlineStr">
        <is>
          <t>ramp ×125%</t>
        </is>
      </c>
      <c r="C42" s="21">
        <f>R16</f>
        <v/>
      </c>
      <c r="D42" s="21">
        <f>R17</f>
        <v/>
      </c>
      <c r="E42" s="21">
        <f>R18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1" t="inlineStr">
        <is>
          <t>The four candidate markets — same engine</t>
        </is>
      </c>
    </row>
    <row r="3">
      <c r="B3" s="2" t="inlineStr">
        <is>
          <t>Pipeline-computed (stage 7); the selected market is replicated live on '2 Model'.</t>
        </is>
      </c>
    </row>
    <row r="5">
      <c r="B5" s="5" t="inlineStr">
        <is>
          <t>Metric</t>
        </is>
      </c>
      <c r="C5" s="14" t="inlineStr">
        <is>
          <t>1. Netherlands</t>
        </is>
      </c>
      <c r="D5" s="14" t="inlineStr">
        <is>
          <t>2. Germany</t>
        </is>
      </c>
      <c r="E5" s="14" t="inlineStr">
        <is>
          <t>3. Portugal</t>
        </is>
      </c>
      <c r="F5" s="14" t="inlineStr">
        <is>
          <t>4. Poland</t>
        </is>
      </c>
    </row>
    <row r="6">
      <c r="B6" s="6" t="inlineStr">
        <is>
          <t>Eligible population 50–74</t>
        </is>
      </c>
      <c r="C6" s="25" t="n">
        <v>4950000</v>
      </c>
      <c r="D6" s="25" t="n">
        <v>26400000</v>
      </c>
      <c r="E6" s="25" t="n">
        <v>3050000</v>
      </c>
      <c r="F6" s="25" t="n">
        <v>11200000</v>
      </c>
    </row>
    <row r="7">
      <c r="B7" s="6" t="inlineStr">
        <is>
          <t>Participation</t>
        </is>
      </c>
      <c r="C7" s="26" t="n">
        <v>0.71</v>
      </c>
      <c r="D7" s="26" t="n">
        <v>0.22</v>
      </c>
      <c r="E7" s="26" t="n">
        <v>0.43</v>
      </c>
      <c r="F7" s="26" t="n">
        <v>0.17</v>
      </c>
    </row>
    <row r="8">
      <c r="B8" s="6" t="inlineStr">
        <is>
          <t>FIT positivity</t>
        </is>
      </c>
      <c r="C8" s="26" t="n">
        <v>0.091</v>
      </c>
      <c r="D8" s="26" t="n">
        <v>0.06</v>
      </c>
      <c r="E8" s="26" t="n">
        <v>0.062</v>
      </c>
      <c r="F8" s="26" t="n">
        <v>0.065</v>
      </c>
    </row>
    <row r="9">
      <c r="B9" s="6" t="inlineStr">
        <is>
          <t>Addressable FIT+ / yr</t>
        </is>
      </c>
      <c r="C9" s="25" t="n">
        <v>159910</v>
      </c>
      <c r="D9" s="25" t="n">
        <v>174240</v>
      </c>
      <c r="E9" s="25" t="n">
        <v>40656</v>
      </c>
      <c r="F9" s="25" t="n">
        <v>61880</v>
      </c>
    </row>
    <row r="10">
      <c r="B10" s="6" t="inlineStr">
        <is>
          <t>Price per test</t>
        </is>
      </c>
      <c r="C10" s="25" t="n">
        <v>215</v>
      </c>
      <c r="D10" s="25" t="n">
        <v>235</v>
      </c>
      <c r="E10" s="25" t="n">
        <v>155</v>
      </c>
      <c r="F10" s="25" t="n">
        <v>115</v>
      </c>
    </row>
    <row r="11">
      <c r="B11" s="6" t="inlineStr">
        <is>
          <t>Months to reimbursement</t>
        </is>
      </c>
      <c r="C11" s="27" t="n">
        <v>12</v>
      </c>
      <c r="D11" s="27" t="n">
        <v>24</v>
      </c>
      <c r="E11" s="27" t="n">
        <v>12</v>
      </c>
      <c r="F11" s="27" t="n">
        <v>12</v>
      </c>
    </row>
    <row r="12">
      <c r="B12" s="6" t="inlineStr">
        <is>
          <t>Entry cost</t>
        </is>
      </c>
      <c r="C12" s="25" t="n">
        <v>200000</v>
      </c>
      <c r="D12" s="25" t="n">
        <v>450000</v>
      </c>
      <c r="E12" s="25" t="n">
        <v>120000</v>
      </c>
      <c r="F12" s="25" t="n">
        <v>150000</v>
      </c>
    </row>
    <row r="13">
      <c r="B13" s="6" t="inlineStr">
        <is>
          <t>In-market cost / yr</t>
        </is>
      </c>
      <c r="C13" s="25" t="n">
        <v>350000</v>
      </c>
      <c r="D13" s="25" t="n">
        <v>600000</v>
      </c>
      <c r="E13" s="25" t="n">
        <v>250000</v>
      </c>
      <c r="F13" s="25" t="n">
        <v>300000</v>
      </c>
    </row>
    <row r="14">
      <c r="B14" s="6" t="inlineStr">
        <is>
          <t>Break-even year</t>
        </is>
      </c>
      <c r="C14" s="28" t="n">
        <v>3</v>
      </c>
      <c r="D14" s="28" t="n">
        <v>4</v>
      </c>
      <c r="E14" s="28" t="inlineStr">
        <is>
          <t>beyond Y5</t>
        </is>
      </c>
      <c r="F14" s="28" t="inlineStr">
        <is>
          <t>beyond Y5</t>
        </is>
      </c>
    </row>
    <row r="15">
      <c r="B15" s="6" t="inlineStr">
        <is>
          <t>Cash trough</t>
        </is>
      </c>
      <c r="C15" s="25" t="n">
        <v>1296589</v>
      </c>
      <c r="D15" s="29" t="n">
        <v>-1405789</v>
      </c>
      <c r="E15" s="29" t="n">
        <v>-3667392</v>
      </c>
      <c r="F15" s="29" t="n">
        <v>-4071151</v>
      </c>
    </row>
    <row r="16">
      <c r="B16" s="6" t="inlineStr">
        <is>
          <t>End cash Y5</t>
        </is>
      </c>
      <c r="C16" s="25" t="n">
        <v>9628669</v>
      </c>
      <c r="D16" s="25" t="n">
        <v>4697279</v>
      </c>
      <c r="E16" s="25" t="n">
        <v>-3667392</v>
      </c>
      <c r="F16" s="25" t="n">
        <v>-4071151</v>
      </c>
    </row>
    <row r="17">
      <c r="B17" s="6" t="inlineStr">
        <is>
          <t>Verdict</t>
        </is>
      </c>
      <c r="C17" s="19" t="inlineStr">
        <is>
          <t>SURVIVES</t>
        </is>
      </c>
      <c r="D17" s="30" t="inlineStr">
        <is>
          <t>INSOLVENT</t>
        </is>
      </c>
      <c r="E17" s="30" t="inlineStr">
        <is>
          <t>INSOLVENT</t>
        </is>
      </c>
      <c r="F17" s="30" t="inlineStr">
        <is>
          <t>INSOLVENT</t>
        </is>
      </c>
    </row>
    <row r="19">
      <c r="B19" s="31" t="inlineStr">
        <is>
          <t>Why Germany is 2nd despite the largest volume: the 24-month pathway consumes the €4M runway before first reimbursed revenue (pre-reimbursement revenue 'immaterial' per its national report), and an incumbent holds 35–40% of the channel. Right market later — unaffordable first.</t>
        </is>
      </c>
    </row>
    <row r="20"/>
    <row r="21"/>
  </sheetData>
  <mergeCells count="1">
    <mergeCell ref="B19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6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  <col width="14" customWidth="1" min="4" max="4"/>
    <col width="12" customWidth="1" min="5" max="5"/>
    <col width="30" customWidth="1" min="6" max="6"/>
    <col width="44" customWidth="1" min="7" max="7"/>
  </cols>
  <sheetData>
    <row r="2">
      <c r="B2" s="1" t="inlineStr">
        <is>
          <t>Sources — every input, its origin</t>
        </is>
      </c>
    </row>
    <row r="3">
      <c r="B3" s="2" t="inlineStr">
        <is>
          <t>pack = read from a pack document · derived = computed from pack values · estimated = modelling assumption (basis stated) · manual = overrides.yaml</t>
        </is>
      </c>
    </row>
    <row r="5">
      <c r="B5" s="5" t="inlineStr">
        <is>
          <t>Scope</t>
        </is>
      </c>
      <c r="C5" s="5" t="inlineStr">
        <is>
          <t>Parameter</t>
        </is>
      </c>
      <c r="D5" s="5" t="inlineStr">
        <is>
          <t>Value</t>
        </is>
      </c>
      <c r="E5" s="5" t="inlineStr">
        <is>
          <t>Class</t>
        </is>
      </c>
      <c r="F5" s="5" t="inlineStr">
        <is>
          <t>Source</t>
        </is>
      </c>
      <c r="G5" s="5" t="inlineStr">
        <is>
          <t>Detail</t>
        </is>
      </c>
    </row>
    <row r="6">
      <c r="B6" s="8" t="inlineStr">
        <is>
          <t>company</t>
        </is>
      </c>
      <c r="C6" s="6" t="inlineStr">
        <is>
          <t>cash_runway</t>
        </is>
      </c>
      <c r="D6" s="6" t="n">
        <v>4000000</v>
      </c>
      <c r="E6" s="24" t="inlineStr">
        <is>
          <t>pack</t>
        </is>
      </c>
      <c r="F6" s="8" t="inlineStr">
        <is>
          <t>company/company_briefing</t>
        </is>
      </c>
      <c r="G6" s="8" t="inlineStr">
        <is>
          <t>P1</t>
        </is>
      </c>
    </row>
    <row r="7">
      <c r="B7" s="8" t="inlineStr">
        <is>
          <t>company</t>
        </is>
      </c>
      <c r="C7" s="6" t="inlineStr">
        <is>
          <t>cogs_year1</t>
        </is>
      </c>
      <c r="D7" s="6" t="n">
        <v>58</v>
      </c>
      <c r="E7" s="24" t="inlineStr">
        <is>
          <t>pack</t>
        </is>
      </c>
      <c r="F7" s="8" t="inlineStr">
        <is>
          <t>company/company_briefing</t>
        </is>
      </c>
      <c r="G7" s="8" t="inlineStr">
        <is>
          <t>P1</t>
        </is>
      </c>
    </row>
    <row r="8">
      <c r="B8" s="8" t="inlineStr">
        <is>
          <t>company</t>
        </is>
      </c>
      <c r="C8" s="6" t="inlineStr">
        <is>
          <t>cogs_year5</t>
        </is>
      </c>
      <c r="D8" s="6" t="n">
        <v>44</v>
      </c>
      <c r="E8" s="24" t="inlineStr">
        <is>
          <t>pack</t>
        </is>
      </c>
      <c r="F8" s="8" t="inlineStr">
        <is>
          <t>company/company_briefing</t>
        </is>
      </c>
      <c r="G8" s="8" t="inlineStr">
        <is>
          <t>P1</t>
        </is>
      </c>
    </row>
    <row r="9">
      <c r="B9" s="8" t="inlineStr">
        <is>
          <t>company</t>
        </is>
      </c>
      <c r="C9" s="6" t="inlineStr">
        <is>
          <t>corporate_cost_per_year</t>
        </is>
      </c>
      <c r="D9" s="6" t="n">
        <v>1800000</v>
      </c>
      <c r="E9" s="24" t="inlineStr">
        <is>
          <t>pack</t>
        </is>
      </c>
      <c r="F9" s="8" t="inlineStr">
        <is>
          <t>company/company_briefing</t>
        </is>
      </c>
      <c r="G9" s="8" t="inlineStr">
        <is>
          <t>P1</t>
        </is>
      </c>
    </row>
    <row r="10">
      <c r="B10" s="8" t="inlineStr">
        <is>
          <t>company</t>
        </is>
      </c>
      <c r="C10" s="6" t="inlineStr">
        <is>
          <t>deferral_rate</t>
        </is>
      </c>
      <c r="D10" s="6" t="n">
        <v>0.45</v>
      </c>
      <c r="E10" s="24" t="inlineStr">
        <is>
          <t>pack</t>
        </is>
      </c>
      <c r="F10" s="8" t="inlineStr">
        <is>
          <t>company/company_briefing</t>
        </is>
      </c>
      <c r="G10" s="8" t="inlineStr">
        <is>
          <t>P1</t>
        </is>
      </c>
    </row>
    <row r="11">
      <c r="B11" s="8" t="inlineStr">
        <is>
          <t>company</t>
        </is>
      </c>
      <c r="C11" s="6" t="inlineStr">
        <is>
          <t>implied_prevalence</t>
        </is>
      </c>
      <c r="D11" s="6" t="n">
        <v>0.1957</v>
      </c>
      <c r="E11" s="32" t="inlineStr">
        <is>
          <t>derived</t>
        </is>
      </c>
      <c r="F11" s="8" t="inlineStr">
        <is>
          <t>derived</t>
        </is>
      </c>
      <c r="G11" s="8" t="inlineStr">
        <is>
          <t>solved from sens/spec/deferral</t>
        </is>
      </c>
    </row>
    <row r="12">
      <c r="B12" s="8" t="inlineStr">
        <is>
          <t>company</t>
        </is>
      </c>
      <c r="C12" s="6" t="inlineStr">
        <is>
          <t>penetration_benchmark</t>
        </is>
      </c>
      <c r="D12" s="6" t="n">
        <v>0.2</v>
      </c>
      <c r="E12" s="24" t="inlineStr">
        <is>
          <t>pack</t>
        </is>
      </c>
      <c r="F12" s="8" t="inlineStr">
        <is>
          <t>company/company_briefing</t>
        </is>
      </c>
      <c r="G12" s="8" t="inlineStr">
        <is>
          <t>P1</t>
        </is>
      </c>
    </row>
    <row r="13">
      <c r="B13" s="8" t="inlineStr">
        <is>
          <t>company</t>
        </is>
      </c>
      <c r="C13" s="6" t="inlineStr">
        <is>
          <t>sensitivity</t>
        </is>
      </c>
      <c r="D13" s="6" t="n">
        <v>0.92</v>
      </c>
      <c r="E13" s="24" t="inlineStr">
        <is>
          <t>pack</t>
        </is>
      </c>
      <c r="F13" s="8" t="inlineStr">
        <is>
          <t>company/company_briefing</t>
        </is>
      </c>
      <c r="G13" s="8" t="inlineStr">
        <is>
          <t>P1</t>
        </is>
      </c>
    </row>
    <row r="14">
      <c r="B14" s="8" t="inlineStr">
        <is>
          <t>company</t>
        </is>
      </c>
      <c r="C14" s="6" t="inlineStr">
        <is>
          <t>specificity</t>
        </is>
      </c>
      <c r="D14" s="6" t="n">
        <v>0.54</v>
      </c>
      <c r="E14" s="24" t="inlineStr">
        <is>
          <t>pack</t>
        </is>
      </c>
      <c r="F14" s="8" t="inlineStr">
        <is>
          <t>company/company_briefing</t>
        </is>
      </c>
      <c r="G14" s="8" t="inlineStr">
        <is>
          <t>P1</t>
        </is>
      </c>
    </row>
    <row r="15">
      <c r="B15" s="8" t="inlineStr">
        <is>
          <t>competitor</t>
        </is>
      </c>
      <c r="C15" s="6" t="inlineStr">
        <is>
          <t>onco_share_high</t>
        </is>
      </c>
      <c r="D15" s="6" t="n">
        <v>0.4</v>
      </c>
      <c r="E15" s="24" t="inlineStr">
        <is>
          <t>pack</t>
        </is>
      </c>
      <c r="F15" s="8" t="inlineStr">
        <is>
          <t>company/competitor_brief</t>
        </is>
      </c>
      <c r="G15" s="8" t="inlineStr">
        <is>
          <t>P1</t>
        </is>
      </c>
    </row>
    <row r="16">
      <c r="B16" s="8" t="inlineStr">
        <is>
          <t>competitor</t>
        </is>
      </c>
      <c r="C16" s="6" t="inlineStr">
        <is>
          <t>onco_share_low</t>
        </is>
      </c>
      <c r="D16" s="6" t="n">
        <v>0.35</v>
      </c>
      <c r="E16" s="24" t="inlineStr">
        <is>
          <t>pack</t>
        </is>
      </c>
      <c r="F16" s="8" t="inlineStr">
        <is>
          <t>company/competitor_brief</t>
        </is>
      </c>
      <c r="G16" s="8" t="inlineStr">
        <is>
          <t>P1</t>
        </is>
      </c>
    </row>
    <row r="17">
      <c r="B17" s="8" t="inlineStr">
        <is>
          <t>competitor</t>
        </is>
      </c>
      <c r="C17" s="6" t="inlineStr">
        <is>
          <t>onco_tests_per_year</t>
        </is>
      </c>
      <c r="D17" s="6" t="n">
        <v>300000</v>
      </c>
      <c r="E17" s="24" t="inlineStr">
        <is>
          <t>pack</t>
        </is>
      </c>
      <c r="F17" s="8" t="inlineStr">
        <is>
          <t>company/competitor_brief</t>
        </is>
      </c>
      <c r="G17" s="8" t="inlineStr">
        <is>
          <t>P1</t>
        </is>
      </c>
    </row>
    <row r="18">
      <c r="B18" s="8" t="inlineStr">
        <is>
          <t>competitor</t>
        </is>
      </c>
      <c r="C18" s="6" t="inlineStr">
        <is>
          <t>onco_years_reimbursed</t>
        </is>
      </c>
      <c r="D18" s="6" t="n">
        <v>3</v>
      </c>
      <c r="E18" s="24" t="inlineStr">
        <is>
          <t>pack</t>
        </is>
      </c>
      <c r="F18" s="8" t="inlineStr">
        <is>
          <t>company/competitor_brief</t>
        </is>
      </c>
      <c r="G18" s="8" t="inlineStr">
        <is>
          <t>P1</t>
        </is>
      </c>
    </row>
    <row r="19">
      <c r="B19" s="8" t="inlineStr">
        <is>
          <t>funding</t>
        </is>
      </c>
      <c r="C19" s="6" t="inlineStr">
        <is>
          <t>cofinance_rate</t>
        </is>
      </c>
      <c r="D19" s="6" t="n">
        <v>0.6</v>
      </c>
      <c r="E19" s="24" t="inlineStr">
        <is>
          <t>pack</t>
        </is>
      </c>
      <c r="F19" s="8" t="inlineStr">
        <is>
          <t>company/funding_call</t>
        </is>
      </c>
      <c r="G19" s="8" t="inlineStr">
        <is>
          <t>P1</t>
        </is>
      </c>
    </row>
    <row r="20">
      <c r="B20" s="8" t="inlineStr">
        <is>
          <t>funding</t>
        </is>
      </c>
      <c r="C20" s="6" t="inlineStr">
        <is>
          <t>grant_max</t>
        </is>
      </c>
      <c r="D20" s="6" t="n">
        <v>500000</v>
      </c>
      <c r="E20" s="24" t="inlineStr">
        <is>
          <t>pack</t>
        </is>
      </c>
      <c r="F20" s="8" t="inlineStr">
        <is>
          <t>company/funding_call</t>
        </is>
      </c>
      <c r="G20" s="8" t="inlineStr">
        <is>
          <t>P1</t>
        </is>
      </c>
    </row>
    <row r="21">
      <c r="B21" s="8" t="inlineStr">
        <is>
          <t>Portugal</t>
        </is>
      </c>
      <c r="C21" s="6" t="inlineStr">
        <is>
          <t>addressable_fit_positive</t>
        </is>
      </c>
      <c r="D21" s="6" t="n">
        <v>40656</v>
      </c>
      <c r="E21" s="32" t="inlineStr">
        <is>
          <t>derived</t>
        </is>
      </c>
      <c r="F21" s="8" t="inlineStr">
        <is>
          <t>derived</t>
        </is>
      </c>
      <c r="G21" s="8" t="inlineStr">
        <is>
          <t>annual_screened x positivity</t>
        </is>
      </c>
    </row>
    <row r="22">
      <c r="B22" s="8" t="inlineStr">
        <is>
          <t>Portugal</t>
        </is>
      </c>
      <c r="C22" s="6" t="inlineStr">
        <is>
          <t>annual_screened</t>
        </is>
      </c>
      <c r="D22" s="6" t="n">
        <v>655750</v>
      </c>
      <c r="E22" s="32" t="inlineStr">
        <is>
          <t>derived</t>
        </is>
      </c>
      <c r="F22" s="8" t="inlineStr">
        <is>
          <t>derived</t>
        </is>
      </c>
      <c r="G22" s="8" t="inlineStr">
        <is>
          <t>eligible x participation / 2 (biennial)</t>
        </is>
      </c>
    </row>
    <row r="23">
      <c r="B23" s="8" t="inlineStr">
        <is>
          <t>Portugal</t>
        </is>
      </c>
      <c r="C23" s="6" t="inlineStr">
        <is>
          <t>colonoscopy_tariff</t>
        </is>
      </c>
      <c r="D23" s="6" t="n">
        <v>400</v>
      </c>
      <c r="E23" s="24" t="inlineStr">
        <is>
          <t>pack</t>
        </is>
      </c>
      <c r="F23" s="8" t="inlineStr">
        <is>
          <t>Portugal/screening_report</t>
        </is>
      </c>
      <c r="G23" s="8" t="inlineStr">
        <is>
          <t>P1</t>
        </is>
      </c>
    </row>
    <row r="24">
      <c r="B24" s="8" t="inlineStr">
        <is>
          <t>Portugal</t>
        </is>
      </c>
      <c r="C24" s="6" t="inlineStr">
        <is>
          <t>eligible_population</t>
        </is>
      </c>
      <c r="D24" s="6" t="n">
        <v>3050000</v>
      </c>
      <c r="E24" s="24" t="inlineStr">
        <is>
          <t>pack</t>
        </is>
      </c>
      <c r="F24" s="8" t="inlineStr">
        <is>
          <t>Portugal/screening_report</t>
        </is>
      </c>
      <c r="G24" s="8" t="inlineStr">
        <is>
          <t>P1</t>
        </is>
      </c>
    </row>
    <row r="25">
      <c r="B25" s="8" t="inlineStr">
        <is>
          <t>Portugal</t>
        </is>
      </c>
      <c r="C25" s="6" t="inlineStr">
        <is>
          <t>entry_cost</t>
        </is>
      </c>
      <c r="D25" s="6" t="n">
        <v>120000</v>
      </c>
      <c r="E25" s="24" t="inlineStr">
        <is>
          <t>pack</t>
        </is>
      </c>
      <c r="F25" s="8" t="inlineStr">
        <is>
          <t>company/market_landscape</t>
        </is>
      </c>
      <c r="G25" s="8" t="inlineStr">
        <is>
          <t>table</t>
        </is>
      </c>
    </row>
    <row r="26">
      <c r="B26" s="8" t="inlineStr">
        <is>
          <t>Portugal</t>
        </is>
      </c>
      <c r="C26" s="6" t="inlineStr">
        <is>
          <t>fit_positivity</t>
        </is>
      </c>
      <c r="D26" s="6" t="n">
        <v>0.062</v>
      </c>
      <c r="E26" s="24" t="inlineStr">
        <is>
          <t>pack</t>
        </is>
      </c>
      <c r="F26" s="8" t="inlineStr">
        <is>
          <t>Portugal/screening_report</t>
        </is>
      </c>
      <c r="G26" s="8" t="inlineStr">
        <is>
          <t>P1</t>
        </is>
      </c>
    </row>
    <row r="27">
      <c r="B27" s="8" t="inlineStr">
        <is>
          <t>Portugal</t>
        </is>
      </c>
      <c r="C27" s="6" t="inlineStr">
        <is>
          <t>inmarket_cost_per_year</t>
        </is>
      </c>
      <c r="D27" s="6" t="n">
        <v>250000</v>
      </c>
      <c r="E27" s="24" t="inlineStr">
        <is>
          <t>pack</t>
        </is>
      </c>
      <c r="F27" s="8" t="inlineStr">
        <is>
          <t>company/market_landscape</t>
        </is>
      </c>
      <c r="G27" s="8" t="inlineStr">
        <is>
          <t>table</t>
        </is>
      </c>
    </row>
    <row r="28">
      <c r="B28" s="8" t="inlineStr">
        <is>
          <t>Portugal</t>
        </is>
      </c>
      <c r="C28" s="6" t="inlineStr">
        <is>
          <t>participation</t>
        </is>
      </c>
      <c r="D28" s="6" t="n">
        <v>0.43</v>
      </c>
      <c r="E28" s="24" t="inlineStr">
        <is>
          <t>pack</t>
        </is>
      </c>
      <c r="F28" s="8" t="inlineStr">
        <is>
          <t>Portugal/screening_report</t>
        </is>
      </c>
      <c r="G28" s="8" t="inlineStr">
        <is>
          <t>P1</t>
        </is>
      </c>
    </row>
    <row r="29">
      <c r="B29" s="8" t="inlineStr">
        <is>
          <t>Portugal</t>
        </is>
      </c>
      <c r="C29" s="6" t="inlineStr">
        <is>
          <t>price_per_test</t>
        </is>
      </c>
      <c r="D29" s="6" t="n">
        <v>155</v>
      </c>
      <c r="E29" s="24" t="inlineStr">
        <is>
          <t>pack</t>
        </is>
      </c>
      <c r="F29" s="8" t="inlineStr">
        <is>
          <t>Portugal/screening_report</t>
        </is>
      </c>
      <c r="G29" s="8" t="inlineStr">
        <is>
          <t>P1</t>
        </is>
      </c>
    </row>
    <row r="30">
      <c r="B30" s="8" t="inlineStr">
        <is>
          <t>Portugal</t>
        </is>
      </c>
      <c r="C30" s="6" t="inlineStr">
        <is>
          <t>screening_interval</t>
        </is>
      </c>
      <c r="D30" s="6" t="inlineStr">
        <is>
          <t>Biennial</t>
        </is>
      </c>
      <c r="E30" s="24" t="inlineStr">
        <is>
          <t>pack</t>
        </is>
      </c>
      <c r="F30" s="8" t="inlineStr">
        <is>
          <t>Portugal/screening_report</t>
        </is>
      </c>
      <c r="G30" s="8" t="inlineStr">
        <is>
          <t>P1</t>
        </is>
      </c>
    </row>
    <row r="31">
      <c r="B31" s="8" t="inlineStr">
        <is>
          <t>Portugal</t>
        </is>
      </c>
      <c r="C31" s="6" t="inlineStr">
        <is>
          <t>time_to_reimbursement_months</t>
        </is>
      </c>
      <c r="D31" s="6" t="n">
        <v>12</v>
      </c>
      <c r="E31" s="24" t="inlineStr">
        <is>
          <t>pack</t>
        </is>
      </c>
      <c r="F31" s="8" t="inlineStr">
        <is>
          <t>Portugal/screening_report</t>
        </is>
      </c>
      <c r="G31" s="8" t="inlineStr">
        <is>
          <t>P1</t>
        </is>
      </c>
    </row>
    <row r="32">
      <c r="B32" s="8" t="inlineStr">
        <is>
          <t>Germany</t>
        </is>
      </c>
      <c r="C32" s="6" t="inlineStr">
        <is>
          <t>addressable_fit_positive</t>
        </is>
      </c>
      <c r="D32" s="6" t="n">
        <v>174240</v>
      </c>
      <c r="E32" s="32" t="inlineStr">
        <is>
          <t>derived</t>
        </is>
      </c>
      <c r="F32" s="8" t="inlineStr">
        <is>
          <t>derived</t>
        </is>
      </c>
      <c r="G32" s="8" t="inlineStr">
        <is>
          <t>annual_screened x positivity</t>
        </is>
      </c>
    </row>
    <row r="33">
      <c r="B33" s="8" t="inlineStr">
        <is>
          <t>Germany</t>
        </is>
      </c>
      <c r="C33" s="6" t="inlineStr">
        <is>
          <t>annual_screened</t>
        </is>
      </c>
      <c r="D33" s="6" t="n">
        <v>2904000</v>
      </c>
      <c r="E33" s="32" t="inlineStr">
        <is>
          <t>derived</t>
        </is>
      </c>
      <c r="F33" s="8" t="inlineStr">
        <is>
          <t>derived</t>
        </is>
      </c>
      <c r="G33" s="8" t="inlineStr">
        <is>
          <t>eligible x participation / 2 (biennial)</t>
        </is>
      </c>
    </row>
    <row r="34">
      <c r="B34" s="8" t="inlineStr">
        <is>
          <t>Germany</t>
        </is>
      </c>
      <c r="C34" s="6" t="inlineStr">
        <is>
          <t>colonoscopy_tariff</t>
        </is>
      </c>
      <c r="D34" s="6" t="n">
        <v>700</v>
      </c>
      <c r="E34" s="24" t="inlineStr">
        <is>
          <t>pack</t>
        </is>
      </c>
      <c r="F34" s="8" t="inlineStr">
        <is>
          <t>Germany/screening_report</t>
        </is>
      </c>
      <c r="G34" s="8" t="inlineStr">
        <is>
          <t>P1</t>
        </is>
      </c>
    </row>
    <row r="35">
      <c r="B35" s="8" t="inlineStr">
        <is>
          <t>Germany</t>
        </is>
      </c>
      <c r="C35" s="6" t="inlineStr">
        <is>
          <t>eligible_population</t>
        </is>
      </c>
      <c r="D35" s="6" t="n">
        <v>26400000</v>
      </c>
      <c r="E35" s="24" t="inlineStr">
        <is>
          <t>pack</t>
        </is>
      </c>
      <c r="F35" s="8" t="inlineStr">
        <is>
          <t>Germany/screening_report</t>
        </is>
      </c>
      <c r="G35" s="8" t="inlineStr">
        <is>
          <t>P1</t>
        </is>
      </c>
    </row>
    <row r="36">
      <c r="B36" s="8" t="inlineStr">
        <is>
          <t>Germany</t>
        </is>
      </c>
      <c r="C36" s="6" t="inlineStr">
        <is>
          <t>entry_cost</t>
        </is>
      </c>
      <c r="D36" s="6" t="n">
        <v>450000</v>
      </c>
      <c r="E36" s="24" t="inlineStr">
        <is>
          <t>pack</t>
        </is>
      </c>
      <c r="F36" s="8" t="inlineStr">
        <is>
          <t>company/market_landscape</t>
        </is>
      </c>
      <c r="G36" s="8" t="inlineStr">
        <is>
          <t>table</t>
        </is>
      </c>
    </row>
    <row r="37">
      <c r="B37" s="8" t="inlineStr">
        <is>
          <t>Germany</t>
        </is>
      </c>
      <c r="C37" s="6" t="inlineStr">
        <is>
          <t>fit_positivity</t>
        </is>
      </c>
      <c r="D37" s="6" t="n">
        <v>0.06</v>
      </c>
      <c r="E37" s="24" t="inlineStr">
        <is>
          <t>pack</t>
        </is>
      </c>
      <c r="F37" s="8" t="inlineStr">
        <is>
          <t>Germany/screening_report</t>
        </is>
      </c>
      <c r="G37" s="8" t="inlineStr">
        <is>
          <t>P1</t>
        </is>
      </c>
    </row>
    <row r="38">
      <c r="B38" s="8" t="inlineStr">
        <is>
          <t>Germany</t>
        </is>
      </c>
      <c r="C38" s="6" t="inlineStr">
        <is>
          <t>inmarket_cost_per_year</t>
        </is>
      </c>
      <c r="D38" s="6" t="n">
        <v>600000</v>
      </c>
      <c r="E38" s="24" t="inlineStr">
        <is>
          <t>pack</t>
        </is>
      </c>
      <c r="F38" s="8" t="inlineStr">
        <is>
          <t>company/market_landscape</t>
        </is>
      </c>
      <c r="G38" s="8" t="inlineStr">
        <is>
          <t>table</t>
        </is>
      </c>
    </row>
    <row r="39">
      <c r="B39" s="8" t="inlineStr">
        <is>
          <t>Germany</t>
        </is>
      </c>
      <c r="C39" s="6" t="inlineStr">
        <is>
          <t>participation</t>
        </is>
      </c>
      <c r="D39" s="6" t="n">
        <v>0.22</v>
      </c>
      <c r="E39" s="24" t="inlineStr">
        <is>
          <t>pack</t>
        </is>
      </c>
      <c r="F39" s="8" t="inlineStr">
        <is>
          <t>Germany/screening_report</t>
        </is>
      </c>
      <c r="G39" s="8" t="inlineStr">
        <is>
          <t>P1</t>
        </is>
      </c>
    </row>
    <row r="40">
      <c r="B40" s="8" t="inlineStr">
        <is>
          <t>Germany</t>
        </is>
      </c>
      <c r="C40" s="6" t="inlineStr">
        <is>
          <t>price_per_test</t>
        </is>
      </c>
      <c r="D40" s="6" t="n">
        <v>235</v>
      </c>
      <c r="E40" s="24" t="inlineStr">
        <is>
          <t>pack</t>
        </is>
      </c>
      <c r="F40" s="8" t="inlineStr">
        <is>
          <t>Germany/screening_report</t>
        </is>
      </c>
      <c r="G40" s="8" t="inlineStr">
        <is>
          <t>P1</t>
        </is>
      </c>
    </row>
    <row r="41">
      <c r="B41" s="8" t="inlineStr">
        <is>
          <t>Germany</t>
        </is>
      </c>
      <c r="C41" s="6" t="inlineStr">
        <is>
          <t>screening_interval</t>
        </is>
      </c>
      <c r="D41" s="6" t="inlineStr">
        <is>
          <t>Biennial</t>
        </is>
      </c>
      <c r="E41" s="24" t="inlineStr">
        <is>
          <t>pack</t>
        </is>
      </c>
      <c r="F41" s="8" t="inlineStr">
        <is>
          <t>Germany/screening_report</t>
        </is>
      </c>
      <c r="G41" s="8" t="inlineStr">
        <is>
          <t>P1</t>
        </is>
      </c>
    </row>
    <row r="42">
      <c r="B42" s="8" t="inlineStr">
        <is>
          <t>Germany</t>
        </is>
      </c>
      <c r="C42" s="6" t="inlineStr">
        <is>
          <t>time_to_reimbursement_months</t>
        </is>
      </c>
      <c r="D42" s="6" t="n">
        <v>24</v>
      </c>
      <c r="E42" s="24" t="inlineStr">
        <is>
          <t>pack</t>
        </is>
      </c>
      <c r="F42" s="8" t="inlineStr">
        <is>
          <t>Germany/screening_report</t>
        </is>
      </c>
      <c r="G42" s="8" t="inlineStr">
        <is>
          <t>P2</t>
        </is>
      </c>
    </row>
    <row r="43">
      <c r="B43" s="8" t="inlineStr">
        <is>
          <t>Netherlands</t>
        </is>
      </c>
      <c r="C43" s="6" t="inlineStr">
        <is>
          <t>addressable_fit_positive</t>
        </is>
      </c>
      <c r="D43" s="6" t="n">
        <v>159910</v>
      </c>
      <c r="E43" s="32" t="inlineStr">
        <is>
          <t>derived</t>
        </is>
      </c>
      <c r="F43" s="8" t="inlineStr">
        <is>
          <t>derived</t>
        </is>
      </c>
      <c r="G43" s="8" t="inlineStr">
        <is>
          <t>annual_screened x positivity</t>
        </is>
      </c>
    </row>
    <row r="44">
      <c r="B44" s="8" t="inlineStr">
        <is>
          <t>Netherlands</t>
        </is>
      </c>
      <c r="C44" s="6" t="inlineStr">
        <is>
          <t>annual_screened</t>
        </is>
      </c>
      <c r="D44" s="6" t="n">
        <v>1757250</v>
      </c>
      <c r="E44" s="32" t="inlineStr">
        <is>
          <t>derived</t>
        </is>
      </c>
      <c r="F44" s="8" t="inlineStr">
        <is>
          <t>derived</t>
        </is>
      </c>
      <c r="G44" s="8" t="inlineStr">
        <is>
          <t>eligible x participation / 2 (biennial)</t>
        </is>
      </c>
    </row>
    <row r="45">
      <c r="B45" s="8" t="inlineStr">
        <is>
          <t>Netherlands</t>
        </is>
      </c>
      <c r="C45" s="6" t="inlineStr">
        <is>
          <t>colonoscopy_tariff</t>
        </is>
      </c>
      <c r="D45" s="6" t="n">
        <v>650</v>
      </c>
      <c r="E45" s="24" t="inlineStr">
        <is>
          <t>pack</t>
        </is>
      </c>
      <c r="F45" s="8" t="inlineStr">
        <is>
          <t>Netherlands/screening_report</t>
        </is>
      </c>
      <c r="G45" s="8" t="inlineStr">
        <is>
          <t>P1</t>
        </is>
      </c>
    </row>
    <row r="46">
      <c r="B46" s="8" t="inlineStr">
        <is>
          <t>Netherlands</t>
        </is>
      </c>
      <c r="C46" s="6" t="inlineStr">
        <is>
          <t>eligible_population</t>
        </is>
      </c>
      <c r="D46" s="6" t="n">
        <v>4950000</v>
      </c>
      <c r="E46" s="24" t="inlineStr">
        <is>
          <t>pack</t>
        </is>
      </c>
      <c r="F46" s="8" t="inlineStr">
        <is>
          <t>Netherlands/screening_report</t>
        </is>
      </c>
      <c r="G46" s="8" t="inlineStr">
        <is>
          <t>P1</t>
        </is>
      </c>
    </row>
    <row r="47">
      <c r="B47" s="8" t="inlineStr">
        <is>
          <t>Netherlands</t>
        </is>
      </c>
      <c r="C47" s="6" t="inlineStr">
        <is>
          <t>entry_cost</t>
        </is>
      </c>
      <c r="D47" s="6" t="n">
        <v>200000</v>
      </c>
      <c r="E47" s="24" t="inlineStr">
        <is>
          <t>pack</t>
        </is>
      </c>
      <c r="F47" s="8" t="inlineStr">
        <is>
          <t>company/market_landscape</t>
        </is>
      </c>
      <c r="G47" s="8" t="inlineStr">
        <is>
          <t>table</t>
        </is>
      </c>
    </row>
    <row r="48">
      <c r="B48" s="8" t="inlineStr">
        <is>
          <t>Netherlands</t>
        </is>
      </c>
      <c r="C48" s="6" t="inlineStr">
        <is>
          <t>fit_positivity</t>
        </is>
      </c>
      <c r="D48" s="6" t="n">
        <v>0.091</v>
      </c>
      <c r="E48" s="24" t="inlineStr">
        <is>
          <t>pack</t>
        </is>
      </c>
      <c r="F48" s="8" t="inlineStr">
        <is>
          <t>Netherlands/screening_report</t>
        </is>
      </c>
      <c r="G48" s="8" t="inlineStr">
        <is>
          <t>P1</t>
        </is>
      </c>
    </row>
    <row r="49">
      <c r="B49" s="8" t="inlineStr">
        <is>
          <t>Netherlands</t>
        </is>
      </c>
      <c r="C49" s="6" t="inlineStr">
        <is>
          <t>inmarket_cost_per_year</t>
        </is>
      </c>
      <c r="D49" s="6" t="n">
        <v>350000</v>
      </c>
      <c r="E49" s="24" t="inlineStr">
        <is>
          <t>pack</t>
        </is>
      </c>
      <c r="F49" s="8" t="inlineStr">
        <is>
          <t>company/market_landscape</t>
        </is>
      </c>
      <c r="G49" s="8" t="inlineStr">
        <is>
          <t>table</t>
        </is>
      </c>
    </row>
    <row r="50">
      <c r="B50" s="8" t="inlineStr">
        <is>
          <t>Netherlands</t>
        </is>
      </c>
      <c r="C50" s="6" t="inlineStr">
        <is>
          <t>participation</t>
        </is>
      </c>
      <c r="D50" s="6" t="n">
        <v>0.71</v>
      </c>
      <c r="E50" s="24" t="inlineStr">
        <is>
          <t>pack</t>
        </is>
      </c>
      <c r="F50" s="8" t="inlineStr">
        <is>
          <t>Netherlands/screening_report</t>
        </is>
      </c>
      <c r="G50" s="8" t="inlineStr">
        <is>
          <t>P1</t>
        </is>
      </c>
    </row>
    <row r="51">
      <c r="B51" s="8" t="inlineStr">
        <is>
          <t>Netherlands</t>
        </is>
      </c>
      <c r="C51" s="6" t="inlineStr">
        <is>
          <t>price_per_test</t>
        </is>
      </c>
      <c r="D51" s="6" t="n">
        <v>215</v>
      </c>
      <c r="E51" s="24" t="inlineStr">
        <is>
          <t>pack</t>
        </is>
      </c>
      <c r="F51" s="8" t="inlineStr">
        <is>
          <t>Netherlands/screening_report</t>
        </is>
      </c>
      <c r="G51" s="8" t="inlineStr">
        <is>
          <t>P1</t>
        </is>
      </c>
    </row>
    <row r="52">
      <c r="B52" s="8" t="inlineStr">
        <is>
          <t>Netherlands</t>
        </is>
      </c>
      <c r="C52" s="6" t="inlineStr">
        <is>
          <t>screening_interval</t>
        </is>
      </c>
      <c r="D52" s="6" t="inlineStr">
        <is>
          <t>Biennial</t>
        </is>
      </c>
      <c r="E52" s="24" t="inlineStr">
        <is>
          <t>pack</t>
        </is>
      </c>
      <c r="F52" s="8" t="inlineStr">
        <is>
          <t>Netherlands/screening_report</t>
        </is>
      </c>
      <c r="G52" s="8" t="inlineStr">
        <is>
          <t>P1</t>
        </is>
      </c>
    </row>
    <row r="53">
      <c r="B53" s="8" t="inlineStr">
        <is>
          <t>Netherlands</t>
        </is>
      </c>
      <c r="C53" s="6" t="inlineStr">
        <is>
          <t>time_to_reimbursement_months</t>
        </is>
      </c>
      <c r="D53" s="6" t="n">
        <v>12</v>
      </c>
      <c r="E53" s="24" t="inlineStr">
        <is>
          <t>pack</t>
        </is>
      </c>
      <c r="F53" s="8" t="inlineStr">
        <is>
          <t>Netherlands/screening_report</t>
        </is>
      </c>
      <c r="G53" s="8" t="inlineStr">
        <is>
          <t>P1</t>
        </is>
      </c>
    </row>
    <row r="54">
      <c r="B54" s="8" t="inlineStr">
        <is>
          <t>Poland</t>
        </is>
      </c>
      <c r="C54" s="6" t="inlineStr">
        <is>
          <t>addressable_fit_positive</t>
        </is>
      </c>
      <c r="D54" s="6" t="n">
        <v>61880</v>
      </c>
      <c r="E54" s="32" t="inlineStr">
        <is>
          <t>derived</t>
        </is>
      </c>
      <c r="F54" s="8" t="inlineStr">
        <is>
          <t>derived</t>
        </is>
      </c>
      <c r="G54" s="8" t="inlineStr">
        <is>
          <t>annual_screened x positivity</t>
        </is>
      </c>
    </row>
    <row r="55">
      <c r="B55" s="8" t="inlineStr">
        <is>
          <t>Poland</t>
        </is>
      </c>
      <c r="C55" s="6" t="inlineStr">
        <is>
          <t>annual_screened</t>
        </is>
      </c>
      <c r="D55" s="6" t="n">
        <v>952000</v>
      </c>
      <c r="E55" s="32" t="inlineStr">
        <is>
          <t>derived</t>
        </is>
      </c>
      <c r="F55" s="8" t="inlineStr">
        <is>
          <t>derived</t>
        </is>
      </c>
      <c r="G55" s="8" t="inlineStr">
        <is>
          <t>eligible x participation / 2 (biennial)</t>
        </is>
      </c>
    </row>
    <row r="56">
      <c r="B56" s="8" t="inlineStr">
        <is>
          <t>Poland</t>
        </is>
      </c>
      <c r="C56" s="6" t="inlineStr">
        <is>
          <t>colonoscopy_tariff</t>
        </is>
      </c>
      <c r="D56" s="6" t="n">
        <v>300</v>
      </c>
      <c r="E56" s="24" t="inlineStr">
        <is>
          <t>pack</t>
        </is>
      </c>
      <c r="F56" s="8" t="inlineStr">
        <is>
          <t>Poland/screening_report</t>
        </is>
      </c>
      <c r="G56" s="8" t="inlineStr">
        <is>
          <t>P1</t>
        </is>
      </c>
    </row>
    <row r="57">
      <c r="B57" s="8" t="inlineStr">
        <is>
          <t>Poland</t>
        </is>
      </c>
      <c r="C57" s="6" t="inlineStr">
        <is>
          <t>eligible_population</t>
        </is>
      </c>
      <c r="D57" s="6" t="n">
        <v>11200000</v>
      </c>
      <c r="E57" s="24" t="inlineStr">
        <is>
          <t>pack</t>
        </is>
      </c>
      <c r="F57" s="8" t="inlineStr">
        <is>
          <t>Poland/screening_report</t>
        </is>
      </c>
      <c r="G57" s="8" t="inlineStr">
        <is>
          <t>P1</t>
        </is>
      </c>
    </row>
    <row r="58">
      <c r="B58" s="8" t="inlineStr">
        <is>
          <t>Poland</t>
        </is>
      </c>
      <c r="C58" s="6" t="inlineStr">
        <is>
          <t>entry_cost</t>
        </is>
      </c>
      <c r="D58" s="6" t="n">
        <v>150000</v>
      </c>
      <c r="E58" s="24" t="inlineStr">
        <is>
          <t>pack</t>
        </is>
      </c>
      <c r="F58" s="8" t="inlineStr">
        <is>
          <t>company/market_landscape</t>
        </is>
      </c>
      <c r="G58" s="8" t="inlineStr">
        <is>
          <t>table</t>
        </is>
      </c>
    </row>
    <row r="59">
      <c r="B59" s="8" t="inlineStr">
        <is>
          <t>Poland</t>
        </is>
      </c>
      <c r="C59" s="6" t="inlineStr">
        <is>
          <t>fit_positivity</t>
        </is>
      </c>
      <c r="D59" s="6" t="n">
        <v>0.065</v>
      </c>
      <c r="E59" s="24" t="inlineStr">
        <is>
          <t>pack</t>
        </is>
      </c>
      <c r="F59" s="8" t="inlineStr">
        <is>
          <t>Poland/screening_report</t>
        </is>
      </c>
      <c r="G59" s="8" t="inlineStr">
        <is>
          <t>P1</t>
        </is>
      </c>
    </row>
    <row r="60">
      <c r="B60" s="8" t="inlineStr">
        <is>
          <t>Poland</t>
        </is>
      </c>
      <c r="C60" s="6" t="inlineStr">
        <is>
          <t>inmarket_cost_per_year</t>
        </is>
      </c>
      <c r="D60" s="6" t="n">
        <v>300000</v>
      </c>
      <c r="E60" s="24" t="inlineStr">
        <is>
          <t>pack</t>
        </is>
      </c>
      <c r="F60" s="8" t="inlineStr">
        <is>
          <t>company/market_landscape</t>
        </is>
      </c>
      <c r="G60" s="8" t="inlineStr">
        <is>
          <t>table</t>
        </is>
      </c>
    </row>
    <row r="61">
      <c r="B61" s="8" t="inlineStr">
        <is>
          <t>Poland</t>
        </is>
      </c>
      <c r="C61" s="6" t="inlineStr">
        <is>
          <t>participation</t>
        </is>
      </c>
      <c r="D61" s="6" t="n">
        <v>0.17</v>
      </c>
      <c r="E61" s="24" t="inlineStr">
        <is>
          <t>pack</t>
        </is>
      </c>
      <c r="F61" s="8" t="inlineStr">
        <is>
          <t>Poland/screening_report</t>
        </is>
      </c>
      <c r="G61" s="8" t="inlineStr">
        <is>
          <t>P1</t>
        </is>
      </c>
    </row>
    <row r="62">
      <c r="B62" s="8" t="inlineStr">
        <is>
          <t>Poland</t>
        </is>
      </c>
      <c r="C62" s="6" t="inlineStr">
        <is>
          <t>price_per_test</t>
        </is>
      </c>
      <c r="D62" s="6" t="n">
        <v>115</v>
      </c>
      <c r="E62" s="24" t="inlineStr">
        <is>
          <t>pack</t>
        </is>
      </c>
      <c r="F62" s="8" t="inlineStr">
        <is>
          <t>Poland/screening_report</t>
        </is>
      </c>
      <c r="G62" s="8" t="inlineStr">
        <is>
          <t>P2</t>
        </is>
      </c>
    </row>
    <row r="63">
      <c r="B63" s="8" t="inlineStr">
        <is>
          <t>Poland</t>
        </is>
      </c>
      <c r="C63" s="6" t="inlineStr">
        <is>
          <t>screening_interval</t>
        </is>
      </c>
      <c r="D63" s="6" t="inlineStr">
        <is>
          <t>Biennial</t>
        </is>
      </c>
      <c r="E63" s="24" t="inlineStr">
        <is>
          <t>pack</t>
        </is>
      </c>
      <c r="F63" s="8" t="inlineStr">
        <is>
          <t>Poland/screening_report</t>
        </is>
      </c>
      <c r="G63" s="8" t="inlineStr">
        <is>
          <t>P1</t>
        </is>
      </c>
    </row>
    <row r="64">
      <c r="B64" s="8" t="inlineStr">
        <is>
          <t>Poland</t>
        </is>
      </c>
      <c r="C64" s="6" t="inlineStr">
        <is>
          <t>time_to_reimbursement_months</t>
        </is>
      </c>
      <c r="D64" s="6" t="n">
        <v>12</v>
      </c>
      <c r="E64" s="24" t="inlineStr">
        <is>
          <t>pack</t>
        </is>
      </c>
      <c r="F64" s="8" t="inlineStr">
        <is>
          <t>Poland/screening_report</t>
        </is>
      </c>
      <c r="G64" s="8" t="inlineStr">
        <is>
          <t>P3</t>
        </is>
      </c>
    </row>
    <row r="65">
      <c r="B65" s="8" t="inlineStr">
        <is>
          <t>model</t>
        </is>
      </c>
      <c r="C65" s="6" t="inlineStr">
        <is>
          <t>penetration ramp Y1–Y5</t>
        </is>
      </c>
      <c r="D65" s="6" t="inlineStr"/>
      <c r="E65" s="33" t="inlineStr">
        <is>
          <t>estimated</t>
        </is>
      </c>
      <c r="F65" s="8" t="inlineStr">
        <is>
          <t>1 Assumptions</t>
        </is>
      </c>
      <c r="G65" s="8" t="inlineStr">
        <is>
          <t>anchored to the pack's benchmark (~20% of eligible volume within 3 years of reimbursement); ±50% bracketed in Sensitivity</t>
        </is>
      </c>
    </row>
    <row r="66">
      <c r="B66" s="8" t="inlineStr">
        <is>
          <t>model</t>
        </is>
      </c>
      <c r="C66" s="6" t="inlineStr">
        <is>
          <t>reimbursement delay</t>
        </is>
      </c>
      <c r="D66" s="6" t="inlineStr"/>
      <c r="E66" s="24" t="inlineStr">
        <is>
          <t>pack</t>
        </is>
      </c>
      <c r="F66" s="8" t="inlineStr">
        <is>
          <t>Netherlands national report</t>
        </is>
      </c>
      <c r="G66" s="8" t="inlineStr">
        <is>
          <t>12 months; stress-tested at 18/24 in Sensitivity</t>
        </is>
      </c>
    </row>
    <row r="67">
      <c r="B67" s="8" t="inlineStr">
        <is>
          <t>model</t>
        </is>
      </c>
      <c r="C67" s="6" t="inlineStr">
        <is>
          <t>annual model granularity</t>
        </is>
      </c>
      <c r="D67" s="6" t="inlineStr"/>
      <c r="E67" s="33" t="inlineStr">
        <is>
          <t>estimated</t>
        </is>
      </c>
      <c r="F67" s="8" t="inlineStr">
        <is>
          <t>modelling choice</t>
        </is>
      </c>
      <c r="G67" s="8" t="inlineStr">
        <is>
          <t>delays round UP to whole years — conservative</t>
        </is>
      </c>
    </row>
    <row r="68">
      <c r="B68" s="8" t="inlineStr">
        <is>
          <t>model</t>
        </is>
      </c>
      <c r="C68" s="6" t="inlineStr">
        <is>
          <t>Germany pre-reimbursement revenue = 0</t>
        </is>
      </c>
      <c r="D68" s="6" t="inlineStr"/>
      <c r="E68" s="24" t="inlineStr">
        <is>
          <t>pack</t>
        </is>
      </c>
      <c r="F68" s="8" t="inlineStr">
        <is>
          <t>Germany national report</t>
        </is>
      </c>
      <c r="G68" s="8" t="inlineStr">
        <is>
          <t>'planning assumptions should treat pre-reimbursement revenue as immaterial'</t>
        </is>
      </c>
    </row>
    <row r="69">
      <c r="B69" s="8" t="inlineStr">
        <is>
          <t>model</t>
        </is>
      </c>
      <c r="C69" s="6" t="inlineStr">
        <is>
          <t>OncoStream 300k tests/yr</t>
        </is>
      </c>
      <c r="D69" s="6" t="inlineStr"/>
      <c r="E69" s="34" t="inlineStr">
        <is>
          <t>REJECTED</t>
        </is>
      </c>
      <c r="F69" s="8" t="inlineStr">
        <is>
          <t>competitor brief</t>
        </is>
      </c>
      <c r="G69" s="8" t="inlineStr">
        <is>
          <t>fails arithmetic vs primary sources (1.7× the whole German addressable market) — see pipeline check CHK-02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2026-08-23T15:29:38Z</dcterms:created>
  <dcterms:modified xmlns:dcterms="http://purl.org/dc/terms/" xmlns:xsi="http://www.w3.org/2001/XMLSchema-instance" xsi:type="dcterms:W3CDTF">2026-08-23T15:29:38Z</dcterms:modified>
</cp:coreProperties>
</file>